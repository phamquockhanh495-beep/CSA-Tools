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D:\CSATools\Staicase\"/>
    </mc:Choice>
  </mc:AlternateContent>
  <xr:revisionPtr revIDLastSave="0" documentId="8_{7A061FA4-1072-47BE-A450-FC83FD02C2E8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3-SIDES" sheetId="9" r:id="rId1"/>
    <sheet name="Cau Thang Tools" sheetId="2" r:id="rId2"/>
    <sheet name="Table" sheetId="8" state="hidden" r:id="rId3"/>
    <sheet name="DATABEAM" sheetId="3" state="hidden" r:id="rId4"/>
  </sheets>
  <functionGroups builtInGroupCount="19"/>
  <definedNames>
    <definedName name="_xlnm._FilterDatabase" localSheetId="2" hidden="1">Table!$U$15:$U$36</definedName>
    <definedName name="_xlnm.Print_Area" localSheetId="0">'3-SIDES'!$F$2:$R$91</definedName>
    <definedName name="_xlnm.Print_Titles" localSheetId="0">'3-SIDES'!$2:$7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L26" i="2" l="1"/>
  <c r="CI1" i="2"/>
  <c r="L52" i="9"/>
  <c r="Q42" i="9" l="1"/>
  <c r="Q45" i="9"/>
  <c r="Q44" i="9"/>
  <c r="Q40" i="9"/>
  <c r="Q38" i="9"/>
  <c r="Q39" i="9"/>
  <c r="P88" i="9"/>
  <c r="O88" i="9"/>
  <c r="Q82" i="9"/>
  <c r="S82" i="9" s="1"/>
  <c r="Q81" i="9"/>
  <c r="Q80" i="9"/>
  <c r="I88" i="9" s="1"/>
  <c r="P77" i="9"/>
  <c r="O77" i="9"/>
  <c r="P76" i="9"/>
  <c r="Q76" i="9" s="1"/>
  <c r="O76" i="9"/>
  <c r="K76" i="9"/>
  <c r="J76" i="9"/>
  <c r="J88" i="9" s="1"/>
  <c r="L70" i="9"/>
  <c r="P59" i="9"/>
  <c r="Q59" i="9" s="1"/>
  <c r="R59" i="9" s="1"/>
  <c r="Q58" i="9"/>
  <c r="R58" i="9" s="1"/>
  <c r="J55" i="9"/>
  <c r="L54" i="9"/>
  <c r="L53" i="9"/>
  <c r="S34" i="9"/>
  <c r="S33" i="9"/>
  <c r="S32" i="9"/>
  <c r="S31" i="9"/>
  <c r="S30" i="9"/>
  <c r="S26" i="9"/>
  <c r="Q25" i="9"/>
  <c r="AM15" i="8"/>
  <c r="AM14" i="8"/>
  <c r="AM13" i="8"/>
  <c r="AM11" i="8"/>
  <c r="AM10" i="8"/>
  <c r="AM9" i="8"/>
  <c r="AM8" i="8"/>
  <c r="AM7" i="8"/>
  <c r="AM6" i="8"/>
  <c r="A6" i="8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M5" i="8"/>
  <c r="A5" i="8"/>
  <c r="I4" i="8"/>
  <c r="I5" i="8" s="1"/>
  <c r="N3" i="8"/>
  <c r="M3" i="8"/>
  <c r="L3" i="8"/>
  <c r="K3" i="8"/>
  <c r="J3" i="8"/>
  <c r="Q55" i="9" l="1"/>
  <c r="R56" i="9"/>
  <c r="Q56" i="9"/>
  <c r="R53" i="9"/>
  <c r="Q54" i="9"/>
  <c r="R55" i="9"/>
  <c r="Q52" i="9"/>
  <c r="Q53" i="9"/>
  <c r="K88" i="9"/>
  <c r="Q88" i="9"/>
  <c r="R52" i="9"/>
  <c r="J77" i="9"/>
  <c r="K77" i="9"/>
  <c r="Q77" i="9" s="1"/>
  <c r="J5" i="8"/>
  <c r="I6" i="8"/>
  <c r="N5" i="8"/>
  <c r="M5" i="8"/>
  <c r="K5" i="8"/>
  <c r="L5" i="8"/>
  <c r="J4" i="8"/>
  <c r="K4" i="8"/>
  <c r="L4" i="8"/>
  <c r="M4" i="8"/>
  <c r="N4" i="8"/>
  <c r="R57" i="9" l="1"/>
  <c r="R60" i="9" s="1"/>
  <c r="Q57" i="9"/>
  <c r="Q60" i="9" s="1"/>
  <c r="I7" i="8"/>
  <c r="N6" i="8"/>
  <c r="M6" i="8"/>
  <c r="L6" i="8"/>
  <c r="K6" i="8"/>
  <c r="J6" i="8"/>
  <c r="Q66" i="9" l="1"/>
  <c r="Q67" i="9" s="1"/>
  <c r="Q83" i="9" s="1"/>
  <c r="H88" i="9" s="1"/>
  <c r="L88" i="9" s="1"/>
  <c r="M88" i="9" s="1"/>
  <c r="N88" i="9" s="1"/>
  <c r="Q70" i="9"/>
  <c r="Q68" i="9"/>
  <c r="Q69" i="9" s="1"/>
  <c r="J7" i="8"/>
  <c r="I8" i="8"/>
  <c r="N7" i="8"/>
  <c r="M7" i="8"/>
  <c r="L7" i="8"/>
  <c r="K7" i="8"/>
  <c r="Q84" i="9" l="1"/>
  <c r="H76" i="9"/>
  <c r="L76" i="9" s="1"/>
  <c r="M76" i="9" s="1"/>
  <c r="N76" i="9" s="1"/>
  <c r="H77" i="9"/>
  <c r="L77" i="9" s="1"/>
  <c r="M77" i="9" s="1"/>
  <c r="N77" i="9" s="1"/>
  <c r="I9" i="8"/>
  <c r="N8" i="8"/>
  <c r="M8" i="8"/>
  <c r="L22" i="8" s="1"/>
  <c r="L8" i="8"/>
  <c r="K8" i="8"/>
  <c r="J8" i="8"/>
  <c r="J9" i="8" l="1"/>
  <c r="I10" i="8"/>
  <c r="N9" i="8"/>
  <c r="M9" i="8"/>
  <c r="L9" i="8"/>
  <c r="K9" i="8"/>
  <c r="I11" i="8" l="1"/>
  <c r="N10" i="8"/>
  <c r="M10" i="8"/>
  <c r="L10" i="8"/>
  <c r="K10" i="8"/>
  <c r="J10" i="8"/>
  <c r="J11" i="8" l="1"/>
  <c r="I12" i="8"/>
  <c r="N11" i="8"/>
  <c r="M11" i="8"/>
  <c r="L11" i="8"/>
  <c r="K11" i="8"/>
  <c r="I13" i="8" l="1"/>
  <c r="N12" i="8"/>
  <c r="M12" i="8"/>
  <c r="L26" i="8" s="1"/>
  <c r="L12" i="8"/>
  <c r="K12" i="8"/>
  <c r="J12" i="8"/>
  <c r="K13" i="8" l="1"/>
  <c r="J13" i="8"/>
  <c r="I14" i="8"/>
  <c r="N13" i="8"/>
  <c r="M13" i="8"/>
  <c r="L13" i="8"/>
  <c r="I15" i="8" l="1"/>
  <c r="N14" i="8"/>
  <c r="M14" i="8"/>
  <c r="L27" i="8" s="1"/>
  <c r="L14" i="8"/>
  <c r="K14" i="8"/>
  <c r="J14" i="8"/>
  <c r="K15" i="8" l="1"/>
  <c r="J15" i="8"/>
  <c r="I16" i="8"/>
  <c r="N15" i="8"/>
  <c r="M15" i="8"/>
  <c r="L15" i="8"/>
  <c r="N16" i="8" l="1"/>
  <c r="M16" i="8"/>
  <c r="L16" i="8"/>
  <c r="K16" i="8"/>
  <c r="J16" i="8"/>
  <c r="AV21" i="2"/>
  <c r="U30" i="2" s="1"/>
  <c r="CD1" i="2" l="1"/>
  <c r="BZ25" i="2"/>
  <c r="BZ3" i="2"/>
  <c r="BZ23" i="2" l="1"/>
  <c r="BZ24" i="2"/>
  <c r="BZ22" i="2"/>
  <c r="BZ21" i="2" s="1"/>
  <c r="BZ20" i="2" s="1"/>
  <c r="BZ18" i="2" s="1"/>
  <c r="BZ4" i="2"/>
  <c r="BZ5" i="2" s="1"/>
  <c r="BZ6" i="2" s="1"/>
  <c r="CA25" i="2"/>
  <c r="BY3" i="2"/>
  <c r="BY4" i="2" s="1"/>
  <c r="BY5" i="2" s="1"/>
  <c r="BY6" i="2" s="1"/>
  <c r="BY7" i="2" s="1"/>
  <c r="BY8" i="2" s="1"/>
  <c r="BY9" i="2" s="1"/>
  <c r="BY10" i="2" s="1"/>
  <c r="BY11" i="2" s="1"/>
  <c r="BY12" i="2" s="1"/>
  <c r="BY13" i="2" s="1"/>
  <c r="CA3" i="2"/>
  <c r="CC12" i="2" l="1"/>
  <c r="CC13" i="2" s="1"/>
  <c r="BY14" i="2"/>
  <c r="BY15" i="2" s="1"/>
  <c r="BY16" i="2" s="1"/>
  <c r="BY17" i="2" s="1"/>
  <c r="BY18" i="2" s="1"/>
  <c r="BY19" i="2" s="1"/>
  <c r="BY20" i="2" s="1"/>
  <c r="BY21" i="2" s="1"/>
  <c r="BY22" i="2" s="1"/>
  <c r="BY23" i="2" s="1"/>
  <c r="BY24" i="2" s="1"/>
  <c r="BY25" i="2" s="1"/>
  <c r="CA24" i="2"/>
  <c r="CA22" i="2"/>
  <c r="CA21" i="2" s="1"/>
  <c r="CA20" i="2" s="1"/>
  <c r="CA23" i="2"/>
  <c r="CA5" i="2"/>
  <c r="CA4" i="2"/>
  <c r="BZ7" i="2"/>
  <c r="CD4" i="2" l="1"/>
  <c r="CD12" i="2"/>
  <c r="CD13" i="2" s="1"/>
  <c r="BZ10" i="2"/>
  <c r="BZ8" i="2"/>
  <c r="BZ9" i="2" s="1"/>
  <c r="CA18" i="2"/>
  <c r="CA19" i="2" s="1"/>
  <c r="CC1" i="2"/>
  <c r="CD5" i="2"/>
  <c r="CA6" i="2"/>
  <c r="CA7" i="2" s="1"/>
  <c r="CC20" i="2" l="1"/>
  <c r="CC21" i="2" s="1"/>
  <c r="BZ11" i="2"/>
  <c r="BZ12" i="2" s="1"/>
  <c r="CA10" i="2"/>
  <c r="CA11" i="2" s="1"/>
  <c r="CA12" i="2" s="1"/>
  <c r="CA9" i="2"/>
  <c r="CA8" i="2"/>
  <c r="CC4" i="2"/>
  <c r="CC5" i="2"/>
  <c r="CE12" i="2"/>
  <c r="CE13" i="2"/>
  <c r="CA13" i="2" l="1"/>
  <c r="BZ13" i="2"/>
  <c r="CC23" i="2" s="1"/>
  <c r="CC24" i="2" s="1"/>
  <c r="CD20" i="2"/>
  <c r="CD21" i="2" s="1"/>
  <c r="CE20" i="2"/>
  <c r="CE21" i="2"/>
  <c r="CD23" i="2" l="1"/>
  <c r="CD24" i="2" s="1"/>
  <c r="CI2" i="2"/>
  <c r="CI4" i="2" s="1"/>
  <c r="CI3" i="2"/>
  <c r="CE23" i="2"/>
  <c r="CE24" i="2"/>
  <c r="CG3" i="2" l="1"/>
  <c r="BZ15" i="2" s="1"/>
  <c r="CG4" i="2" l="1"/>
  <c r="CA15" i="2" s="1"/>
  <c r="CA14" i="2" s="1"/>
  <c r="CD9" i="2"/>
  <c r="BZ14" i="2" l="1"/>
  <c r="CD10" i="2"/>
  <c r="BZ19" i="2" l="1"/>
  <c r="CC9" i="2"/>
  <c r="CC10" i="2" s="1"/>
  <c r="CE10" i="2"/>
  <c r="CE9" i="2"/>
  <c r="BZ17" i="2" l="1"/>
  <c r="CC15" i="2" s="1"/>
  <c r="CC16" i="2" s="1"/>
  <c r="CA17" i="2" l="1"/>
  <c r="CD15" i="2" s="1"/>
  <c r="CD16" i="2" l="1"/>
  <c r="CE15" i="2"/>
  <c r="CE16" i="2"/>
  <c r="CG1" i="2" l="1"/>
  <c r="BZ16" i="2" s="1"/>
  <c r="CG2" i="2" l="1"/>
  <c r="CA16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vobaotoan</author>
  </authors>
  <commentList>
    <comment ref="Q49" authorId="0" shapeId="0" xr:uid="{93869C70-EB02-4F8E-93A8-C4A315B73B9E}">
      <text>
        <r>
          <rPr>
            <b/>
            <sz val="8"/>
            <color indexed="81"/>
            <rFont val="Tahoma"/>
            <family val="2"/>
          </rPr>
          <t>vobaotoan: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10"/>
            <rFont val="Tahoma"/>
            <family val="2"/>
          </rPr>
          <t>Tai cho ban nghieng</t>
        </r>
        <r>
          <rPr>
            <b/>
            <sz val="8"/>
            <color indexed="81"/>
            <rFont val="Tahoma"/>
            <family val="2"/>
          </rPr>
          <t>.</t>
        </r>
      </text>
    </comment>
    <comment ref="R49" authorId="0" shapeId="0" xr:uid="{8C91CA00-470F-40F8-A200-0F83436909B4}">
      <text>
        <r>
          <rPr>
            <b/>
            <sz val="8"/>
            <color indexed="81"/>
            <rFont val="Tahoma"/>
            <family val="2"/>
          </rPr>
          <t>vobaotoan: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10"/>
            <rFont val="Tahoma"/>
            <family val="2"/>
          </rPr>
          <t>Tai cho ban chieu nghi.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PC</author>
  </authors>
  <commentList>
    <comment ref="AI2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Điền = 0 nếu không muốn vẽ bậc thang</t>
        </r>
      </text>
    </comment>
    <comment ref="I25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THỐNG KÊ CHẤM THÉP CHIẾU NGHỈ TRÊN</t>
        </r>
      </text>
    </comment>
    <comment ref="I26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THỐNG KÊ CHẤM THÉP CHIẾU NGHỈ DƯỚI</t>
        </r>
      </text>
    </comment>
    <comment ref="U28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Điền = 0 nếu không muốn vẽ bậc thang</t>
        </r>
      </text>
    </comment>
    <comment ref="AT29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Dùng để thống kê, tính số lượng thép dọc cho cầu thang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Ngoc Phuong</author>
  </authors>
  <commentList>
    <comment ref="AL4" authorId="0" shapeId="0" xr:uid="{83A7FC25-DC32-4B66-823D-DE254AD276A6}">
      <text>
        <r>
          <rPr>
            <b/>
            <sz val="9"/>
            <color indexed="81"/>
            <rFont val="Tahoma"/>
            <family val="2"/>
          </rPr>
          <t>Cường độ chịu kéo</t>
        </r>
      </text>
    </comment>
    <comment ref="AM4" authorId="0" shapeId="0" xr:uid="{3576EE63-62C6-4891-B9EF-100FA1D3412B}">
      <text>
        <r>
          <rPr>
            <b/>
            <sz val="9"/>
            <color indexed="81"/>
            <rFont val="Tahoma"/>
            <family val="2"/>
          </rPr>
          <t>Cường độ chịu nén</t>
        </r>
      </text>
    </comment>
    <comment ref="AN4" authorId="0" shapeId="0" xr:uid="{F8A76BC1-C39D-448A-AE50-1F97B67AC8A9}">
      <text>
        <r>
          <rPr>
            <b/>
            <sz val="9"/>
            <color indexed="81"/>
            <rFont val="Tahoma"/>
            <family val="2"/>
          </rPr>
          <t>Mô đun đàn hồi</t>
        </r>
      </text>
    </comment>
    <comment ref="AO4" authorId="0" shapeId="0" xr:uid="{3D593901-F7ED-4E69-87F8-7B9BDF1833E4}">
      <text>
        <r>
          <rPr>
            <b/>
            <sz val="9"/>
            <color indexed="81"/>
            <rFont val="Tahoma"/>
            <family val="2"/>
          </rPr>
          <t>Hệ số độ tin cậy của cốt thép</t>
        </r>
      </text>
    </comment>
    <comment ref="AP4" authorId="0" shapeId="0" xr:uid="{A3E7E36C-7CC5-44A1-AB61-4EAAA64D6C49}">
      <text>
        <r>
          <rPr>
            <b/>
            <sz val="9"/>
            <color indexed="81"/>
            <rFont val="Tahoma"/>
            <family val="2"/>
          </rPr>
          <t>Giới hạn chảy</t>
        </r>
      </text>
    </comment>
    <comment ref="AL5" authorId="0" shapeId="0" xr:uid="{E657B6B4-AC00-48D5-8423-95931987F85B}">
      <text>
        <r>
          <rPr>
            <b/>
            <sz val="9"/>
            <color indexed="81"/>
            <rFont val="Tahoma"/>
            <family val="2"/>
          </rPr>
          <t>Gama_s=1.13</t>
        </r>
      </text>
    </comment>
    <comment ref="AL6" authorId="0" shapeId="0" xr:uid="{98AEBCCE-7188-4A79-84F9-D54709131A8E}">
      <text>
        <r>
          <rPr>
            <b/>
            <sz val="9"/>
            <color indexed="81"/>
            <rFont val="Tahoma"/>
            <family val="2"/>
          </rPr>
          <t>gama_s=1.16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E5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Chiều dài phương chịu tải vuông góc với dầm.</t>
        </r>
      </text>
    </comment>
    <comment ref="K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Thép chạy suốt dầm</t>
        </r>
      </text>
    </comment>
    <comment ref="AB6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Thép chạy suốt dầm</t>
        </r>
      </text>
    </comment>
  </commentList>
</comments>
</file>

<file path=xl/sharedStrings.xml><?xml version="1.0" encoding="utf-8"?>
<sst xmlns="http://schemas.openxmlformats.org/spreadsheetml/2006/main" count="720" uniqueCount="400">
  <si>
    <t>Nhịp</t>
  </si>
  <si>
    <t>mm</t>
  </si>
  <si>
    <t>-</t>
  </si>
  <si>
    <t>d</t>
  </si>
  <si>
    <t>+0.050</t>
  </si>
  <si>
    <t>X</t>
  </si>
  <si>
    <t>Y</t>
  </si>
  <si>
    <t>STT</t>
  </si>
  <si>
    <t>Alpha</t>
  </si>
  <si>
    <t>GD dưới X</t>
  </si>
  <si>
    <t>GD Dưới Y</t>
  </si>
  <si>
    <t>GD Trên X</t>
  </si>
  <si>
    <t>GD trên Y</t>
  </si>
  <si>
    <t>BaoMinX</t>
  </si>
  <si>
    <t>BaoMaxX</t>
  </si>
  <si>
    <t>BaoMinY</t>
  </si>
  <si>
    <t>BaoMaxY</t>
  </si>
  <si>
    <t>A</t>
  </si>
  <si>
    <t>B</t>
  </si>
  <si>
    <t>Xiên dưới</t>
  </si>
  <si>
    <t>Tọa độ điểm dưới</t>
  </si>
  <si>
    <t>điểm</t>
  </si>
  <si>
    <t>GD</t>
  </si>
  <si>
    <t>Tọa độ điểm trên</t>
  </si>
  <si>
    <t xml:space="preserve">Max = </t>
  </si>
  <si>
    <t>Lớp bảo vệ</t>
  </si>
  <si>
    <t>Vị trí thép chiếu nghỉ</t>
  </si>
  <si>
    <t>Thép chiếu nghỉ dưới</t>
  </si>
  <si>
    <t>Loại bố trí thép thang:</t>
  </si>
  <si>
    <t>Bề rộng bản chiếu nghỉ</t>
  </si>
  <si>
    <t>Thép chiếu nghỉ trên</t>
  </si>
  <si>
    <t>Thép dọc lớp dưới</t>
  </si>
  <si>
    <t>Thép dọc lớp trên</t>
  </si>
  <si>
    <t>Thép cấu tạo</t>
  </si>
  <si>
    <t>Bề rộng bản thang</t>
  </si>
  <si>
    <t>Neo Thép cầu thang (d)</t>
  </si>
  <si>
    <t>THANG T1-T2</t>
  </si>
  <si>
    <t>Số hiệu thép bắt đầu:</t>
  </si>
  <si>
    <t>Bậc</t>
  </si>
  <si>
    <t>Số cấu kiện:</t>
  </si>
  <si>
    <t>MẶT CẮT 1-1</t>
  </si>
  <si>
    <t>Trong</t>
  </si>
  <si>
    <t>12a150</t>
  </si>
  <si>
    <t>12a100</t>
  </si>
  <si>
    <t>Kiểu vẽ Thép</t>
  </si>
  <si>
    <t>Tim - Tim</t>
  </si>
  <si>
    <t>Rộng</t>
  </si>
  <si>
    <t>Cao</t>
  </si>
  <si>
    <t>KT dầm</t>
  </si>
  <si>
    <t>n1</t>
  </si>
  <si>
    <t>d1</t>
  </si>
  <si>
    <t>n2</t>
  </si>
  <si>
    <t>n</t>
  </si>
  <si>
    <t>d2</t>
  </si>
  <si>
    <t>n3</t>
  </si>
  <si>
    <t>d3</t>
  </si>
  <si>
    <t>Tăng cường</t>
  </si>
  <si>
    <t>a</t>
  </si>
  <si>
    <t>MPa</t>
  </si>
  <si>
    <t>SD390</t>
  </si>
  <si>
    <t>SD490</t>
  </si>
  <si>
    <t>Đai</t>
  </si>
  <si>
    <t>CS</t>
  </si>
  <si>
    <t>Tên dầm</t>
  </si>
  <si>
    <t>THÉP GỐI</t>
  </si>
  <si>
    <t>THÉP NHỊP</t>
  </si>
  <si>
    <t>Vẽ thép Chiếu nghỉ trên</t>
  </si>
  <si>
    <t>Vẽ thép Chiếu nghỉ dưới</t>
  </si>
  <si>
    <t>T.Giá</t>
  </si>
  <si>
    <t>Vẽ tách Gối nhịp</t>
  </si>
  <si>
    <t>100/200</t>
  </si>
  <si>
    <t>Yes</t>
  </si>
  <si>
    <t>Số lượng CK</t>
  </si>
  <si>
    <t>Đai Xoắn</t>
  </si>
  <si>
    <t>Cao độ</t>
  </si>
  <si>
    <t>Chế độ vẽ</t>
  </si>
  <si>
    <t>-0.050</t>
  </si>
  <si>
    <t>B1-1</t>
  </si>
  <si>
    <t>B1-2</t>
  </si>
  <si>
    <t>B1-3</t>
  </si>
  <si>
    <t>B2-1</t>
  </si>
  <si>
    <t>100/150</t>
  </si>
  <si>
    <t>B2-2</t>
  </si>
  <si>
    <t>B2-3</t>
  </si>
  <si>
    <t>B2-4</t>
  </si>
  <si>
    <t>B3-1</t>
  </si>
  <si>
    <t>B3-2</t>
  </si>
  <si>
    <t>B3-3</t>
  </si>
  <si>
    <t>B3-4</t>
  </si>
  <si>
    <t>B4-1</t>
  </si>
  <si>
    <t>B4-2</t>
  </si>
  <si>
    <t>B4-3</t>
  </si>
  <si>
    <t>B4-4</t>
  </si>
  <si>
    <t>B5-1</t>
  </si>
  <si>
    <t>B5-2</t>
  </si>
  <si>
    <t>B5-3</t>
  </si>
  <si>
    <t>B5-4</t>
  </si>
  <si>
    <t>B5-5</t>
  </si>
  <si>
    <t>B5-6</t>
  </si>
  <si>
    <t>B5-7</t>
  </si>
  <si>
    <t>B6</t>
  </si>
  <si>
    <t>B7-1</t>
  </si>
  <si>
    <t>B7-2</t>
  </si>
  <si>
    <t>B7-3</t>
  </si>
  <si>
    <t>B7-4</t>
  </si>
  <si>
    <t>B7-5</t>
  </si>
  <si>
    <t>B7-6</t>
  </si>
  <si>
    <t>B8-1</t>
  </si>
  <si>
    <t>B8-2</t>
  </si>
  <si>
    <t>B8-3</t>
  </si>
  <si>
    <t>B8-4</t>
  </si>
  <si>
    <t>B9-1</t>
  </si>
  <si>
    <t>B9-2</t>
  </si>
  <si>
    <t>B10-1</t>
  </si>
  <si>
    <t>B10-2</t>
  </si>
  <si>
    <t>B10-3</t>
  </si>
  <si>
    <t>B10-4</t>
  </si>
  <si>
    <t>B11-1</t>
  </si>
  <si>
    <t>B11-2</t>
  </si>
  <si>
    <t>B11-3</t>
  </si>
  <si>
    <t>B11-4</t>
  </si>
  <si>
    <t>B11-5</t>
  </si>
  <si>
    <t>B12-1</t>
  </si>
  <si>
    <t>B12-2</t>
  </si>
  <si>
    <t>B12-3</t>
  </si>
  <si>
    <t>B12-4</t>
  </si>
  <si>
    <t>B13-1</t>
  </si>
  <si>
    <t>B13-2</t>
  </si>
  <si>
    <t>B14-1</t>
  </si>
  <si>
    <t>B14-2</t>
  </si>
  <si>
    <t>B14-3</t>
  </si>
  <si>
    <t>B14-4</t>
  </si>
  <si>
    <t>B15</t>
  </si>
  <si>
    <t>B16-1</t>
  </si>
  <si>
    <t>B16-2</t>
  </si>
  <si>
    <t>B16-3</t>
  </si>
  <si>
    <t>B17-1</t>
  </si>
  <si>
    <t>B17-2</t>
  </si>
  <si>
    <t>B17-3</t>
  </si>
  <si>
    <t>B18-1</t>
  </si>
  <si>
    <t>B18-2</t>
  </si>
  <si>
    <t>B18-3</t>
  </si>
  <si>
    <t>B19-1</t>
  </si>
  <si>
    <t>B19-2</t>
  </si>
  <si>
    <t>B19-3</t>
  </si>
  <si>
    <t>B20-1</t>
  </si>
  <si>
    <t>B20-2</t>
  </si>
  <si>
    <t>B20-3</t>
  </si>
  <si>
    <t>H sàn</t>
  </si>
  <si>
    <t>200</t>
  </si>
  <si>
    <t>120</t>
  </si>
  <si>
    <t>130</t>
  </si>
  <si>
    <t>L dầm
thông thủy</t>
  </si>
  <si>
    <t xml:space="preserve">AAAAAAAAAAA </t>
  </si>
  <si>
    <t>Số dầm tối đa sắp xếp trên 1 hàng</t>
  </si>
  <si>
    <t>Rộng khung</t>
  </si>
  <si>
    <t>THÔNG SỐ</t>
  </si>
  <si>
    <t>2 lớp</t>
  </si>
  <si>
    <t>Kc 2 hàng:</t>
  </si>
  <si>
    <t>Cao khung</t>
  </si>
  <si>
    <t>TK Chấm thép CN trên:</t>
  </si>
  <si>
    <t>TK Chấm thép CN dưới:</t>
  </si>
  <si>
    <t>Chiều rộng Cột trái/phải</t>
  </si>
  <si>
    <t>No</t>
  </si>
  <si>
    <t>SƠ ĐỒ BẢNG TÍNH SÀN TRA BẢNG</t>
  </si>
  <si>
    <t>BANG TRA THEP(cm2)</t>
  </si>
  <si>
    <t>SƠ ĐỒ 9</t>
  </si>
  <si>
    <t>SƠ ĐỒ 1</t>
  </si>
  <si>
    <t>a(mm)</t>
  </si>
  <si>
    <r>
      <t>L</t>
    </r>
    <r>
      <rPr>
        <b/>
        <vertAlign val="subscript"/>
        <sz val="10"/>
        <color indexed="21"/>
        <rFont val="Arial"/>
        <family val="2"/>
      </rPr>
      <t>2</t>
    </r>
    <r>
      <rPr>
        <b/>
        <sz val="10"/>
        <color indexed="21"/>
        <rFont val="Arial"/>
        <family val="2"/>
      </rPr>
      <t>/L</t>
    </r>
    <r>
      <rPr>
        <b/>
        <vertAlign val="subscript"/>
        <sz val="10"/>
        <color indexed="21"/>
        <rFont val="Arial"/>
        <family val="2"/>
      </rPr>
      <t>1</t>
    </r>
  </si>
  <si>
    <r>
      <t>m</t>
    </r>
    <r>
      <rPr>
        <b/>
        <vertAlign val="subscript"/>
        <sz val="10"/>
        <color indexed="21"/>
        <rFont val="Arial"/>
        <family val="2"/>
      </rPr>
      <t>91</t>
    </r>
  </si>
  <si>
    <r>
      <t>m</t>
    </r>
    <r>
      <rPr>
        <b/>
        <vertAlign val="subscript"/>
        <sz val="10"/>
        <color indexed="21"/>
        <rFont val="Arial"/>
        <family val="2"/>
      </rPr>
      <t>92</t>
    </r>
    <r>
      <rPr>
        <sz val="11"/>
        <color theme="1"/>
        <rFont val="Calibri"/>
        <family val="2"/>
        <scheme val="minor"/>
      </rPr>
      <t/>
    </r>
  </si>
  <si>
    <r>
      <t>k</t>
    </r>
    <r>
      <rPr>
        <b/>
        <vertAlign val="subscript"/>
        <sz val="10"/>
        <color indexed="21"/>
        <rFont val="Arial"/>
        <family val="2"/>
      </rPr>
      <t>91</t>
    </r>
  </si>
  <si>
    <r>
      <t>k</t>
    </r>
    <r>
      <rPr>
        <b/>
        <vertAlign val="subscript"/>
        <sz val="10"/>
        <color indexed="21"/>
        <rFont val="Arial"/>
        <family val="2"/>
      </rPr>
      <t>92</t>
    </r>
    <r>
      <rPr>
        <sz val="11"/>
        <color theme="1"/>
        <rFont val="Calibri"/>
        <family val="2"/>
        <scheme val="minor"/>
      </rPr>
      <t/>
    </r>
  </si>
  <si>
    <r>
      <t>m</t>
    </r>
    <r>
      <rPr>
        <b/>
        <vertAlign val="subscript"/>
        <sz val="10"/>
        <color indexed="21"/>
        <rFont val="Arial"/>
        <family val="2"/>
      </rPr>
      <t>11</t>
    </r>
  </si>
  <si>
    <r>
      <t>m</t>
    </r>
    <r>
      <rPr>
        <b/>
        <vertAlign val="subscript"/>
        <sz val="10"/>
        <color indexed="21"/>
        <rFont val="Arial"/>
        <family val="2"/>
      </rPr>
      <t>12</t>
    </r>
    <r>
      <rPr>
        <sz val="11"/>
        <color theme="1"/>
        <rFont val="Calibri"/>
        <family val="2"/>
        <scheme val="minor"/>
      </rPr>
      <t/>
    </r>
  </si>
  <si>
    <t>Cường độ tính toán của bê tông theo trạng thái giới hạn I</t>
  </si>
  <si>
    <t>Cường độ tính toán của cốt thép thanh theo trạng thái giới hạn I</t>
  </si>
  <si>
    <t>Trạng thái</t>
  </si>
  <si>
    <t xml:space="preserve">Nén dọc trục (cường độ lăng trụ) </t>
  </si>
  <si>
    <t xml:space="preserve">Kéo dọc trục </t>
  </si>
  <si>
    <t>Module đàn hồi</t>
  </si>
  <si>
    <t>Nhóm thép thanh</t>
  </si>
  <si>
    <r>
      <t>R</t>
    </r>
    <r>
      <rPr>
        <b/>
        <vertAlign val="subscript"/>
        <sz val="10"/>
        <rFont val="Calibri"/>
        <family val="2"/>
      </rPr>
      <t>s</t>
    </r>
    <r>
      <rPr>
        <b/>
        <sz val="10"/>
        <rFont val="Calibri"/>
        <family val="2"/>
      </rPr>
      <t xml:space="preserve"> (Mpa)</t>
    </r>
  </si>
  <si>
    <r>
      <t>R</t>
    </r>
    <r>
      <rPr>
        <b/>
        <vertAlign val="subscript"/>
        <sz val="10"/>
        <rFont val="Calibri"/>
        <family val="2"/>
      </rPr>
      <t>sc</t>
    </r>
    <r>
      <rPr>
        <b/>
        <sz val="10"/>
        <rFont val="Calibri"/>
        <family val="2"/>
      </rPr>
      <t xml:space="preserve"> (Mpa)</t>
    </r>
  </si>
  <si>
    <r>
      <t>E</t>
    </r>
    <r>
      <rPr>
        <b/>
        <vertAlign val="subscript"/>
        <sz val="10"/>
        <rFont val="Calibri"/>
        <family val="2"/>
      </rPr>
      <t>s</t>
    </r>
    <r>
      <rPr>
        <b/>
        <sz val="10"/>
        <rFont val="Calibri"/>
        <family val="2"/>
      </rPr>
      <t xml:space="preserve"> (Mpa)</t>
    </r>
  </si>
  <si>
    <r>
      <t>g</t>
    </r>
    <r>
      <rPr>
        <b/>
        <vertAlign val="subscript"/>
        <sz val="10"/>
        <rFont val="Calibri"/>
        <family val="2"/>
      </rPr>
      <t>s</t>
    </r>
  </si>
  <si>
    <r>
      <t>f</t>
    </r>
    <r>
      <rPr>
        <b/>
        <vertAlign val="subscript"/>
        <sz val="10"/>
        <rFont val="Calibri"/>
        <family val="2"/>
      </rPr>
      <t>s</t>
    </r>
    <r>
      <rPr>
        <b/>
        <sz val="10"/>
        <rFont val="Calibri"/>
        <family val="2"/>
      </rPr>
      <t xml:space="preserve"> (Mpa)</t>
    </r>
  </si>
  <si>
    <r>
      <t>R</t>
    </r>
    <r>
      <rPr>
        <b/>
        <vertAlign val="subscript"/>
        <sz val="10"/>
        <rFont val="Calibri"/>
        <family val="2"/>
      </rPr>
      <t>sw</t>
    </r>
    <r>
      <rPr>
        <b/>
        <sz val="10"/>
        <rFont val="Calibri"/>
        <family val="2"/>
      </rPr>
      <t xml:space="preserve"> (Mpa)</t>
    </r>
  </si>
  <si>
    <t>Ký hiệu</t>
  </si>
  <si>
    <r>
      <t>R</t>
    </r>
    <r>
      <rPr>
        <vertAlign val="subscript"/>
        <sz val="10"/>
        <rFont val="Calibri"/>
        <family val="2"/>
      </rPr>
      <t>b</t>
    </r>
    <r>
      <rPr>
        <sz val="10"/>
        <rFont val="Calibri"/>
        <family val="2"/>
      </rPr>
      <t xml:space="preserve"> (MPa)</t>
    </r>
  </si>
  <si>
    <r>
      <t>R</t>
    </r>
    <r>
      <rPr>
        <vertAlign val="subscript"/>
        <sz val="10"/>
        <rFont val="Calibri"/>
        <family val="2"/>
      </rPr>
      <t>bt</t>
    </r>
    <r>
      <rPr>
        <sz val="10"/>
        <rFont val="Calibri"/>
        <family val="2"/>
      </rPr>
      <t xml:space="preserve"> (MPa)</t>
    </r>
  </si>
  <si>
    <r>
      <t>E</t>
    </r>
    <r>
      <rPr>
        <vertAlign val="subscript"/>
        <sz val="10"/>
        <rFont val="Calibri"/>
        <family val="2"/>
      </rPr>
      <t>b</t>
    </r>
    <r>
      <rPr>
        <sz val="10"/>
        <rFont val="Calibri"/>
        <family val="2"/>
      </rPr>
      <t xml:space="preserve"> (MPa)</t>
    </r>
  </si>
  <si>
    <r>
      <t>f'</t>
    </r>
    <r>
      <rPr>
        <vertAlign val="subscript"/>
        <sz val="10"/>
        <rFont val="Calibri"/>
        <family val="2"/>
      </rPr>
      <t>c</t>
    </r>
    <r>
      <rPr>
        <sz val="10"/>
        <rFont val="Calibri"/>
        <family val="2"/>
      </rPr>
      <t xml:space="preserve"> (MPa)</t>
    </r>
  </si>
  <si>
    <r>
      <t>f</t>
    </r>
    <r>
      <rPr>
        <vertAlign val="subscript"/>
        <sz val="10"/>
        <rFont val="Calibri"/>
        <family val="2"/>
      </rPr>
      <t>ck</t>
    </r>
    <r>
      <rPr>
        <sz val="10"/>
        <rFont val="Calibri"/>
        <family val="2"/>
      </rPr>
      <t xml:space="preserve"> (MPa)</t>
    </r>
  </si>
  <si>
    <t>Cấp độ bền chịu nén của bê tông nặng, Mpa</t>
  </si>
  <si>
    <t>B3.5</t>
  </si>
  <si>
    <t>C2.8/3.5</t>
  </si>
  <si>
    <t>M50</t>
  </si>
  <si>
    <t>B5</t>
  </si>
  <si>
    <t>C4/5</t>
  </si>
  <si>
    <t>M75</t>
  </si>
  <si>
    <t>SR235</t>
  </si>
  <si>
    <t>B7.5</t>
  </si>
  <si>
    <t>C6/7.5</t>
  </si>
  <si>
    <t>M100</t>
  </si>
  <si>
    <t>SR295</t>
  </si>
  <si>
    <t>B10</t>
  </si>
  <si>
    <t>C8/10</t>
  </si>
  <si>
    <t>M150</t>
  </si>
  <si>
    <t>CB240-T</t>
  </si>
  <si>
    <t>B12.5</t>
  </si>
  <si>
    <t>C10/12.5</t>
  </si>
  <si>
    <t>CB300-T</t>
  </si>
  <si>
    <t>C12/15</t>
  </si>
  <si>
    <t>M200</t>
  </si>
  <si>
    <t>CB400-V</t>
  </si>
  <si>
    <t>B20</t>
  </si>
  <si>
    <t>C16/20</t>
  </si>
  <si>
    <t>M250</t>
  </si>
  <si>
    <t>CB500-V</t>
  </si>
  <si>
    <t>B22.5</t>
  </si>
  <si>
    <t>C18/22.5</t>
  </si>
  <si>
    <t>M300</t>
  </si>
  <si>
    <t>CI, A-I</t>
  </si>
  <si>
    <t>B25</t>
  </si>
  <si>
    <t>C20/25</t>
  </si>
  <si>
    <t>M350</t>
  </si>
  <si>
    <t>CII, A-II</t>
  </si>
  <si>
    <t>L1-B01-01</t>
  </si>
  <si>
    <t>B30</t>
  </si>
  <si>
    <t>C24/30</t>
  </si>
  <si>
    <t>M400</t>
  </si>
  <si>
    <t>CIII, A-III</t>
  </si>
  <si>
    <t>L1-B01-02</t>
  </si>
  <si>
    <t>B35</t>
  </si>
  <si>
    <t>C28/35</t>
  </si>
  <si>
    <t>M450</t>
  </si>
  <si>
    <t>CIV, A-IV</t>
  </si>
  <si>
    <t>Thép A-I</t>
  </si>
  <si>
    <t>Thép &gt;=A-II</t>
  </si>
  <si>
    <t>L1-B01-03</t>
  </si>
  <si>
    <t>B40</t>
  </si>
  <si>
    <t>C32/40</t>
  </si>
  <si>
    <t>M500</t>
  </si>
  <si>
    <t>A-V</t>
  </si>
  <si>
    <t>Ø8a100</t>
  </si>
  <si>
    <t>Ø14a100</t>
  </si>
  <si>
    <t>L1-B01-04</t>
  </si>
  <si>
    <t>B45</t>
  </si>
  <si>
    <t>C35/45</t>
  </si>
  <si>
    <t>M600</t>
  </si>
  <si>
    <t>A-VI</t>
  </si>
  <si>
    <t>Ø8a150</t>
  </si>
  <si>
    <t>Ø14a120</t>
  </si>
  <si>
    <t>L1-B01-05</t>
  </si>
  <si>
    <t>B50</t>
  </si>
  <si>
    <t>C40/50</t>
  </si>
  <si>
    <t>M700</t>
  </si>
  <si>
    <t>AT-VII</t>
  </si>
  <si>
    <t>Ø8a200</t>
  </si>
  <si>
    <t>Ø12a100</t>
  </si>
  <si>
    <t>L1-B01-06</t>
  </si>
  <si>
    <t>B55</t>
  </si>
  <si>
    <t>C45/55</t>
  </si>
  <si>
    <t>A-IIIB</t>
  </si>
  <si>
    <t>Ø14a150</t>
  </si>
  <si>
    <t>L1-B01-07</t>
  </si>
  <si>
    <t>B60</t>
  </si>
  <si>
    <t>C50/60</t>
  </si>
  <si>
    <t>M800</t>
  </si>
  <si>
    <t>Ø12a120</t>
  </si>
  <si>
    <t>L1-B01-08</t>
  </si>
  <si>
    <t>Ø10a100</t>
  </si>
  <si>
    <t>L1-B01-09</t>
  </si>
  <si>
    <t>Ø14a200</t>
  </si>
  <si>
    <t>L1-B01-10</t>
  </si>
  <si>
    <t>Ø12a150</t>
  </si>
  <si>
    <t>L1-B02-01</t>
  </si>
  <si>
    <t>Ø12a160</t>
  </si>
  <si>
    <t>L1-B02-02</t>
  </si>
  <si>
    <t>Ø12a180</t>
  </si>
  <si>
    <t>L1-B02-03</t>
  </si>
  <si>
    <t>PHẦN TĨNH TẢI SÀN</t>
  </si>
  <si>
    <t>Ø12a200</t>
  </si>
  <si>
    <t>L1-B02-04</t>
  </si>
  <si>
    <t>Ø10a150</t>
  </si>
  <si>
    <t>Các lớp 
cấu tạo sàn</t>
  </si>
  <si>
    <t>Chiều Dày
δi(mm)</t>
  </si>
  <si>
    <r>
      <t>Trọng Lượng
riêng γi (daN/m</t>
    </r>
    <r>
      <rPr>
        <b/>
        <vertAlign val="superscript"/>
        <sz val="10"/>
        <color indexed="10"/>
        <rFont val="Arial"/>
        <family val="2"/>
      </rPr>
      <t>3</t>
    </r>
    <r>
      <rPr>
        <b/>
        <sz val="10"/>
        <color indexed="10"/>
        <rFont val="Arial"/>
        <family val="2"/>
      </rPr>
      <t>)</t>
    </r>
  </si>
  <si>
    <t>Ø10a200</t>
  </si>
  <si>
    <t>L1-B03-01</t>
  </si>
  <si>
    <t>Hoàn thiện</t>
  </si>
  <si>
    <t>Đá mài</t>
  </si>
  <si>
    <t>L1-B04-01</t>
  </si>
  <si>
    <t>Đá Granite</t>
  </si>
  <si>
    <t>L1-B09-01</t>
  </si>
  <si>
    <t>Vữa lót</t>
  </si>
  <si>
    <t>L1-B101-01</t>
  </si>
  <si>
    <t>Gạch xây</t>
  </si>
  <si>
    <t>L1-B12-01</t>
  </si>
  <si>
    <t>Bản BTCT</t>
  </si>
  <si>
    <t>Vữa trát</t>
  </si>
  <si>
    <t>Bậc BTCT</t>
  </si>
  <si>
    <t>TÍNH TOÁN CẦU THANG 3 VẾ</t>
  </si>
  <si>
    <t>THÔNG SỐ ĐẦU VÀO</t>
  </si>
  <si>
    <t>Thông tin về cầu thang</t>
  </si>
  <si>
    <t>Chiều cao 1 bậc thang</t>
  </si>
  <si>
    <r>
      <t>h</t>
    </r>
    <r>
      <rPr>
        <vertAlign val="subscript"/>
        <sz val="10"/>
        <rFont val="Calibri"/>
        <family val="2"/>
      </rPr>
      <t xml:space="preserve">b </t>
    </r>
    <r>
      <rPr>
        <sz val="10"/>
        <rFont val="Calibri"/>
        <family val="2"/>
      </rPr>
      <t>=</t>
    </r>
  </si>
  <si>
    <t>Bề rộng 1 bậc thang</t>
  </si>
  <si>
    <r>
      <t>l</t>
    </r>
    <r>
      <rPr>
        <vertAlign val="subscript"/>
        <sz val="10"/>
        <rFont val="Calibri"/>
        <family val="2"/>
      </rPr>
      <t xml:space="preserve">b </t>
    </r>
    <r>
      <rPr>
        <sz val="10"/>
        <rFont val="Calibri"/>
        <family val="2"/>
      </rPr>
      <t>=</t>
    </r>
  </si>
  <si>
    <t>Góc nghiêng của bản thang</t>
  </si>
  <si>
    <t>cosα =</t>
  </si>
  <si>
    <t>Chiều dày của bản thang</t>
  </si>
  <si>
    <t xml:space="preserve">hs = </t>
  </si>
  <si>
    <t>m</t>
  </si>
  <si>
    <t>Chiều dày lớp bê tông bảo vệ</t>
  </si>
  <si>
    <t>abv =</t>
  </si>
  <si>
    <t>Chiều cao dầm chiếu nghỉ</t>
  </si>
  <si>
    <r>
      <t>b</t>
    </r>
    <r>
      <rPr>
        <vertAlign val="subscript"/>
        <sz val="10"/>
        <rFont val="Calibri"/>
        <family val="2"/>
      </rPr>
      <t>d</t>
    </r>
    <r>
      <rPr>
        <sz val="10"/>
        <rFont val="Calibri"/>
        <family val="2"/>
      </rPr>
      <t xml:space="preserve"> =</t>
    </r>
  </si>
  <si>
    <t>Bề rộng dầm chiếu nghỉ</t>
  </si>
  <si>
    <r>
      <t>h</t>
    </r>
    <r>
      <rPr>
        <vertAlign val="subscript"/>
        <sz val="10"/>
        <rFont val="Calibri"/>
        <family val="2"/>
      </rPr>
      <t>d</t>
    </r>
    <r>
      <rPr>
        <sz val="10"/>
        <rFont val="Calibri"/>
        <family val="2"/>
      </rPr>
      <t xml:space="preserve"> =</t>
    </r>
  </si>
  <si>
    <t>Chiều dài bản chiếu nghỉ 1</t>
  </si>
  <si>
    <t>L1 =</t>
  </si>
  <si>
    <t>Chiều dài bản nghiêng</t>
  </si>
  <si>
    <t>L2 =</t>
  </si>
  <si>
    <t>Chiều dài bản chiếu nghỉ 2</t>
  </si>
  <si>
    <t>L3 =</t>
  </si>
  <si>
    <t xml:space="preserve">Bề rộng 1 vế thang </t>
  </si>
  <si>
    <t>B =</t>
  </si>
  <si>
    <t>Khoảng hở giữa 2 vế thang</t>
  </si>
  <si>
    <t>D =</t>
  </si>
  <si>
    <t>Vật liệu sử dụng</t>
  </si>
  <si>
    <t>Cấp bê tông</t>
  </si>
  <si>
    <t>Cường độ chịu nén của bê tông</t>
  </si>
  <si>
    <r>
      <t>R</t>
    </r>
    <r>
      <rPr>
        <vertAlign val="subscript"/>
        <sz val="10"/>
        <color indexed="8"/>
        <rFont val="Calibri"/>
        <family val="2"/>
      </rPr>
      <t>b</t>
    </r>
    <r>
      <rPr>
        <sz val="10"/>
        <rFont val="Calibri"/>
        <family val="2"/>
      </rPr>
      <t xml:space="preserve"> =</t>
    </r>
  </si>
  <si>
    <t>Cường độ chịu kéo của bê tông</t>
  </si>
  <si>
    <r>
      <t>R</t>
    </r>
    <r>
      <rPr>
        <vertAlign val="subscript"/>
        <sz val="10"/>
        <color indexed="8"/>
        <rFont val="Calibri"/>
        <family val="2"/>
      </rPr>
      <t>bt</t>
    </r>
    <r>
      <rPr>
        <sz val="10"/>
        <rFont val="Calibri"/>
        <family val="2"/>
      </rPr>
      <t xml:space="preserve"> =</t>
    </r>
  </si>
  <si>
    <t xml:space="preserve">Modun đàn hồi của bê tông </t>
  </si>
  <si>
    <r>
      <t>E</t>
    </r>
    <r>
      <rPr>
        <vertAlign val="subscript"/>
        <sz val="10"/>
        <color indexed="8"/>
        <rFont val="Calibri"/>
        <family val="2"/>
      </rPr>
      <t>b</t>
    </r>
    <r>
      <rPr>
        <sz val="10"/>
        <rFont val="Calibri"/>
        <family val="2"/>
      </rPr>
      <t xml:space="preserve"> =</t>
    </r>
  </si>
  <si>
    <t>Cường độ chịu kéo của cốt thép chịu uốn</t>
  </si>
  <si>
    <r>
      <t>R</t>
    </r>
    <r>
      <rPr>
        <vertAlign val="subscript"/>
        <sz val="10"/>
        <color indexed="8"/>
        <rFont val="Calibri"/>
        <family val="2"/>
      </rPr>
      <t>s</t>
    </r>
    <r>
      <rPr>
        <sz val="10"/>
        <rFont val="Calibri"/>
        <family val="2"/>
      </rPr>
      <t xml:space="preserve"> =</t>
    </r>
  </si>
  <si>
    <t>Cường độ chịu kéo của cốt thép chịu cắt</t>
  </si>
  <si>
    <r>
      <t>R</t>
    </r>
    <r>
      <rPr>
        <vertAlign val="subscript"/>
        <sz val="10"/>
        <color indexed="8"/>
        <rFont val="Calibri"/>
        <family val="2"/>
      </rPr>
      <t>sw</t>
    </r>
    <r>
      <rPr>
        <sz val="10"/>
        <rFont val="Calibri"/>
        <family val="2"/>
      </rPr>
      <t xml:space="preserve"> =</t>
    </r>
  </si>
  <si>
    <t>Modun đàn hồi của cốt thép</t>
  </si>
  <si>
    <r>
      <t>E</t>
    </r>
    <r>
      <rPr>
        <vertAlign val="subscript"/>
        <sz val="10"/>
        <color indexed="8"/>
        <rFont val="Calibri"/>
        <family val="2"/>
      </rPr>
      <t>s</t>
    </r>
    <r>
      <rPr>
        <sz val="10"/>
        <rFont val="Calibri"/>
        <family val="2"/>
      </rPr>
      <t xml:space="preserve"> =</t>
    </r>
  </si>
  <si>
    <t>Tải trọng tác dụng</t>
  </si>
  <si>
    <t>Tải trọng các lớp tác dụng lên bản thang và bản chiếu nghỉ</t>
  </si>
  <si>
    <t>Loại tải</t>
  </si>
  <si>
    <t>TL lớp 
qui đổi (m)</t>
  </si>
  <si>
    <r>
      <t>Trọng Lượng
riêng γi (daN/m</t>
    </r>
    <r>
      <rPr>
        <b/>
        <vertAlign val="superscript"/>
        <sz val="10"/>
        <rFont val="Calibri"/>
        <family val="2"/>
      </rPr>
      <t>3</t>
    </r>
    <r>
      <rPr>
        <b/>
        <sz val="10"/>
        <rFont val="Calibri"/>
        <family val="2"/>
      </rPr>
      <t>)</t>
    </r>
  </si>
  <si>
    <t>Tải q2</t>
  </si>
  <si>
    <t>Tải q1</t>
  </si>
  <si>
    <t>daN/m</t>
  </si>
  <si>
    <t>Tĩnh tải</t>
  </si>
  <si>
    <t>Tổng</t>
  </si>
  <si>
    <t>Hoạt tải</t>
  </si>
  <si>
    <t>Sử dụng</t>
  </si>
  <si>
    <t>daN/m2</t>
  </si>
  <si>
    <t>Lan can</t>
  </si>
  <si>
    <t>Tổng tải</t>
  </si>
  <si>
    <r>
      <rPr>
        <sz val="10"/>
        <rFont val="Calibri"/>
        <family val="2"/>
      </rPr>
      <t>Σ</t>
    </r>
    <r>
      <rPr>
        <sz val="10"/>
        <rFont val="Calibri"/>
        <family val="2"/>
      </rPr>
      <t>Q = DL + LL = (kN/m)</t>
    </r>
  </si>
  <si>
    <t>TÍNH TOÁN</t>
  </si>
  <si>
    <t>Tính thép cho bản thang</t>
  </si>
  <si>
    <t>Phản lực tại điểm A</t>
  </si>
  <si>
    <r>
      <t>RA = [q1L1(L1/2+L2+L3)+q2L2(L2/2+L3)/cos</t>
    </r>
    <r>
      <rPr>
        <sz val="10"/>
        <rFont val="Calibri"/>
        <family val="2"/>
      </rPr>
      <t>α+q1L²3/2]/(L1+L2+L3) =</t>
    </r>
  </si>
  <si>
    <t>kN</t>
  </si>
  <si>
    <t>Phản lực tại điểm B</t>
  </si>
  <si>
    <r>
      <t>RB = (q1L1+q2L2/cos</t>
    </r>
    <r>
      <rPr>
        <sz val="10"/>
        <rFont val="Calibri"/>
        <family val="2"/>
      </rPr>
      <t>α+q3L3)-RA =</t>
    </r>
  </si>
  <si>
    <t>Vị trí x có moment lớn nhất</t>
  </si>
  <si>
    <r>
      <t>x = (RA-q1L1+q2L1/cos</t>
    </r>
    <r>
      <rPr>
        <sz val="10"/>
        <rFont val="Calibri"/>
        <family val="2"/>
      </rPr>
      <t>α)cosα/q2</t>
    </r>
    <r>
      <rPr>
        <sz val="10"/>
        <rFont val="Calibri"/>
        <family val="2"/>
      </rPr>
      <t xml:space="preserve"> =</t>
    </r>
  </si>
  <si>
    <t>Moment lớn nhất tại của thang tại vị trí x</t>
  </si>
  <si>
    <r>
      <t>Mxmax = RAx-q1L1(x-L1/2)-q2(x-L1)</t>
    </r>
    <r>
      <rPr>
        <sz val="10"/>
        <rFont val="Calibri"/>
        <family val="2"/>
      </rPr>
      <t>²/2cosα =</t>
    </r>
  </si>
  <si>
    <t>kNm</t>
  </si>
  <si>
    <t>Moment lớn nhất tại bản thang tại vị trí  x1 =</t>
  </si>
  <si>
    <t>mm =&gt;</t>
  </si>
  <si>
    <r>
      <t>Mx1max</t>
    </r>
    <r>
      <rPr>
        <sz val="10"/>
        <rFont val="Calibri"/>
        <family val="2"/>
      </rPr>
      <t xml:space="preserve"> =</t>
    </r>
  </si>
  <si>
    <t>Hệ số phân phối lại moment cho nhịp và gối</t>
  </si>
  <si>
    <t>Ở gối</t>
  </si>
  <si>
    <t>Ở nhịp</t>
  </si>
  <si>
    <t>Kí hiệu</t>
  </si>
  <si>
    <t>M(kNm)</t>
  </si>
  <si>
    <t>b(mm)</t>
  </si>
  <si>
    <t>ho(mm)</t>
  </si>
  <si>
    <r>
      <t>α</t>
    </r>
    <r>
      <rPr>
        <b/>
        <vertAlign val="subscript"/>
        <sz val="10"/>
        <rFont val="Calibri"/>
        <family val="2"/>
      </rPr>
      <t>m</t>
    </r>
  </si>
  <si>
    <t>ξ</t>
  </si>
  <si>
    <r>
      <t>A</t>
    </r>
    <r>
      <rPr>
        <b/>
        <vertAlign val="subscript"/>
        <sz val="10"/>
        <rFont val="Calibri"/>
        <family val="2"/>
      </rPr>
      <t>s</t>
    </r>
    <r>
      <rPr>
        <b/>
        <sz val="10"/>
        <rFont val="Calibri"/>
        <family val="2"/>
      </rPr>
      <t>(mm</t>
    </r>
    <r>
      <rPr>
        <b/>
        <vertAlign val="superscript"/>
        <sz val="10"/>
        <rFont val="Calibri"/>
        <family val="2"/>
      </rPr>
      <t>2</t>
    </r>
    <r>
      <rPr>
        <b/>
        <sz val="10"/>
        <rFont val="Calibri"/>
        <family val="2"/>
      </rPr>
      <t>)</t>
    </r>
  </si>
  <si>
    <t>Chọn
 thép</t>
  </si>
  <si>
    <t>µt(%)</t>
  </si>
  <si>
    <t>T</t>
  </si>
  <si>
    <r>
      <t>M</t>
    </r>
    <r>
      <rPr>
        <b/>
        <vertAlign val="subscript"/>
        <sz val="10"/>
        <rFont val="Calibri"/>
        <family val="2"/>
      </rPr>
      <t>max</t>
    </r>
  </si>
  <si>
    <r>
      <t>M</t>
    </r>
    <r>
      <rPr>
        <b/>
        <vertAlign val="subscript"/>
        <sz val="10"/>
        <rFont val="Calibri"/>
        <family val="2"/>
      </rPr>
      <t>min</t>
    </r>
  </si>
  <si>
    <t>Tính thép dầm thang</t>
  </si>
  <si>
    <t>Dầm thang có tiết diện</t>
  </si>
  <si>
    <t>Nhịp của dầm</t>
  </si>
  <si>
    <t>Ld =</t>
  </si>
  <si>
    <t xml:space="preserve">Moment lớn nhất của dầm </t>
  </si>
  <si>
    <t>Mmax =</t>
  </si>
  <si>
    <t>Lực cắt lớn nhất trong dầm</t>
  </si>
  <si>
    <t>Qmax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</si>
</sst>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0000"/>
    <numFmt numFmtId="165" formatCode="0.0"/>
    <numFmt numFmtId="166" formatCode="0.0000"/>
  </numFmts>
  <fonts count="54" x14ac:knownFonts="1"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FF"/>
      <name val="Calibri"/>
      <family val="2"/>
      <scheme val="minor"/>
    </font>
    <font>
      <sz val="11"/>
      <color theme="1"/>
      <name val="Times New Roman"/>
      <family val="1"/>
    </font>
    <font>
      <sz val="11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rgb="FF0000FF"/>
      <name val="Times New Roman"/>
      <family val="1"/>
    </font>
    <font>
      <b/>
      <sz val="11"/>
      <color rgb="FF0000FF"/>
      <name val="Times New Roman"/>
      <family val="1"/>
    </font>
    <font>
      <b/>
      <sz val="11"/>
      <name val="Times New Roman"/>
      <family val="1"/>
    </font>
    <font>
      <sz val="8"/>
      <name val="Calibri"/>
      <family val="2"/>
      <scheme val="minor"/>
    </font>
    <font>
      <b/>
      <sz val="12"/>
      <name val="Times New Roman"/>
      <family val="1"/>
    </font>
    <font>
      <b/>
      <sz val="11"/>
      <color rgb="FFFF0000"/>
      <name val="Times New Roman"/>
      <family val="1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1"/>
      <color indexed="10"/>
      <name val="Arial"/>
      <family val="2"/>
    </font>
    <font>
      <b/>
      <sz val="11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3"/>
      <color indexed="12"/>
      <name val="Calibri"/>
      <family val="2"/>
    </font>
    <font>
      <b/>
      <sz val="10"/>
      <color indexed="21"/>
      <name val="Arial"/>
      <family val="2"/>
    </font>
    <font>
      <b/>
      <vertAlign val="subscript"/>
      <sz val="10"/>
      <color indexed="21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2"/>
      <name val="Arial"/>
      <family val="2"/>
    </font>
    <font>
      <b/>
      <vertAlign val="subscript"/>
      <sz val="10"/>
      <name val="Calibri"/>
      <family val="2"/>
    </font>
    <font>
      <vertAlign val="subscript"/>
      <sz val="10"/>
      <name val="Calibri"/>
      <family val="2"/>
    </font>
    <font>
      <sz val="1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indexed="10"/>
      <name val="Arial"/>
      <family val="2"/>
    </font>
    <font>
      <b/>
      <sz val="13"/>
      <color indexed="12"/>
      <name val="Arial"/>
      <family val="2"/>
    </font>
    <font>
      <b/>
      <vertAlign val="superscript"/>
      <sz val="10"/>
      <color indexed="10"/>
      <name val="Arial"/>
      <family val="2"/>
    </font>
    <font>
      <sz val="10"/>
      <color indexed="9"/>
      <name val="Arial"/>
      <family val="2"/>
    </font>
    <font>
      <b/>
      <i/>
      <sz val="11"/>
      <color indexed="8"/>
      <name val="Arial"/>
      <family val="2"/>
    </font>
    <font>
      <b/>
      <i/>
      <sz val="14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indexed="30"/>
      <name val="Calibri"/>
      <family val="2"/>
    </font>
    <font>
      <vertAlign val="subscript"/>
      <sz val="10"/>
      <color indexed="8"/>
      <name val="Calibri"/>
      <family val="2"/>
    </font>
    <font>
      <b/>
      <vertAlign val="superscript"/>
      <sz val="10"/>
      <name val="Calibri"/>
      <family val="2"/>
    </font>
    <font>
      <b/>
      <sz val="10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10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 tint="-9.9978637043366805E-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0" borderId="0" applyNumberFormat="0" applyFill="0" applyBorder="0" applyAlignment="0" applyProtection="0"/>
    <xf numFmtId="0" fontId="8" fillId="0" borderId="0"/>
    <xf numFmtId="0" fontId="8" fillId="0" borderId="0"/>
    <xf numFmtId="0" fontId="18" fillId="0" borderId="0">
      <alignment horizontal="center" vertical="center"/>
    </xf>
    <xf numFmtId="0" fontId="10" fillId="0" borderId="0"/>
    <xf numFmtId="0" fontId="18" fillId="0" borderId="0">
      <alignment vertical="center"/>
    </xf>
    <xf numFmtId="49" fontId="41" fillId="0" borderId="0">
      <alignment horizontal="left" vertical="center"/>
    </xf>
    <xf numFmtId="0" fontId="18" fillId="0" borderId="0">
      <alignment vertical="center"/>
    </xf>
  </cellStyleXfs>
  <cellXfs count="268">
    <xf numFmtId="0" fontId="0" fillId="0" borderId="0" xfId="0"/>
    <xf numFmtId="0" fontId="1" fillId="2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Protection="1">
      <protection locked="0"/>
    </xf>
    <xf numFmtId="0" fontId="0" fillId="4" borderId="0" xfId="0" applyFill="1" applyAlignment="1" applyProtection="1">
      <alignment vertical="center"/>
      <protection locked="0"/>
    </xf>
    <xf numFmtId="0" fontId="3" fillId="4" borderId="0" xfId="0" applyFont="1" applyFill="1" applyAlignment="1">
      <alignment horizontal="center" vertical="center"/>
    </xf>
    <xf numFmtId="0" fontId="0" fillId="4" borderId="0" xfId="0" applyFill="1"/>
    <xf numFmtId="49" fontId="0" fillId="4" borderId="0" xfId="0" applyNumberFormat="1" applyFill="1" applyProtection="1">
      <protection locked="0"/>
    </xf>
    <xf numFmtId="0" fontId="2" fillId="2" borderId="0" xfId="0" applyFont="1" applyFill="1" applyProtection="1"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center" vertical="center"/>
    </xf>
    <xf numFmtId="1" fontId="1" fillId="2" borderId="0" xfId="0" applyNumberFormat="1" applyFont="1" applyFill="1" applyAlignment="1">
      <alignment horizontal="center" vertical="center"/>
    </xf>
    <xf numFmtId="3" fontId="1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 wrapText="1"/>
    </xf>
    <xf numFmtId="0" fontId="14" fillId="3" borderId="10" xfId="0" applyFont="1" applyFill="1" applyBorder="1" applyAlignment="1">
      <alignment horizontal="center" vertical="center" wrapText="1"/>
    </xf>
    <xf numFmtId="0" fontId="13" fillId="2" borderId="17" xfId="0" applyFont="1" applyFill="1" applyBorder="1" applyAlignment="1">
      <alignment vertical="center"/>
    </xf>
    <xf numFmtId="0" fontId="13" fillId="2" borderId="0" xfId="0" applyFont="1" applyFill="1" applyAlignment="1">
      <alignment vertical="center"/>
    </xf>
    <xf numFmtId="0" fontId="13" fillId="2" borderId="15" xfId="0" applyFont="1" applyFill="1" applyBorder="1" applyAlignment="1">
      <alignment vertical="center"/>
    </xf>
    <xf numFmtId="0" fontId="13" fillId="2" borderId="12" xfId="0" applyFont="1" applyFill="1" applyBorder="1" applyAlignment="1">
      <alignment vertical="center"/>
    </xf>
    <xf numFmtId="0" fontId="14" fillId="3" borderId="9" xfId="0" applyFont="1" applyFill="1" applyBorder="1" applyAlignment="1">
      <alignment vertical="center" wrapText="1"/>
    </xf>
    <xf numFmtId="0" fontId="12" fillId="0" borderId="10" xfId="0" applyFont="1" applyBorder="1" applyAlignment="1">
      <alignment horizontal="center" vertical="center"/>
    </xf>
    <xf numFmtId="0" fontId="13" fillId="2" borderId="1" xfId="0" applyFont="1" applyFill="1" applyBorder="1" applyAlignment="1">
      <alignment vertical="center"/>
    </xf>
    <xf numFmtId="0" fontId="13" fillId="6" borderId="1" xfId="0" applyFont="1" applyFill="1" applyBorder="1" applyAlignment="1">
      <alignment vertical="center"/>
    </xf>
    <xf numFmtId="0" fontId="13" fillId="6" borderId="0" xfId="0" applyFont="1" applyFill="1" applyAlignment="1">
      <alignment vertical="center"/>
    </xf>
    <xf numFmtId="0" fontId="13" fillId="6" borderId="12" xfId="0" applyFont="1" applyFill="1" applyBorder="1" applyAlignment="1">
      <alignment vertical="center"/>
    </xf>
    <xf numFmtId="0" fontId="12" fillId="6" borderId="1" xfId="0" applyFont="1" applyFill="1" applyBorder="1" applyAlignment="1">
      <alignment horizontal="center" vertical="center"/>
    </xf>
    <xf numFmtId="0" fontId="12" fillId="6" borderId="10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center" vertical="center"/>
    </xf>
    <xf numFmtId="0" fontId="13" fillId="7" borderId="0" xfId="0" applyFont="1" applyFill="1" applyAlignment="1">
      <alignment vertical="center"/>
    </xf>
    <xf numFmtId="0" fontId="13" fillId="7" borderId="12" xfId="0" applyFont="1" applyFill="1" applyBorder="1" applyAlignment="1">
      <alignment vertical="center"/>
    </xf>
    <xf numFmtId="0" fontId="12" fillId="7" borderId="1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vertical="center" wrapText="1"/>
    </xf>
    <xf numFmtId="0" fontId="13" fillId="0" borderId="1" xfId="0" applyFont="1" applyBorder="1" applyAlignment="1">
      <alignment vertical="center"/>
    </xf>
    <xf numFmtId="49" fontId="12" fillId="0" borderId="1" xfId="0" applyNumberFormat="1" applyFont="1" applyBorder="1" applyAlignment="1">
      <alignment horizontal="center" vertical="center"/>
    </xf>
    <xf numFmtId="2" fontId="12" fillId="2" borderId="1" xfId="0" applyNumberFormat="1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2" fontId="12" fillId="2" borderId="10" xfId="0" applyNumberFormat="1" applyFont="1" applyFill="1" applyBorder="1" applyAlignment="1">
      <alignment horizontal="center" vertical="center"/>
    </xf>
    <xf numFmtId="2" fontId="14" fillId="3" borderId="1" xfId="0" applyNumberFormat="1" applyFont="1" applyFill="1" applyBorder="1" applyAlignment="1">
      <alignment horizontal="center" vertical="center"/>
    </xf>
    <xf numFmtId="2" fontId="14" fillId="3" borderId="10" xfId="0" applyNumberFormat="1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3" fontId="16" fillId="3" borderId="1" xfId="0" applyNumberFormat="1" applyFont="1" applyFill="1" applyBorder="1" applyAlignment="1">
      <alignment horizontal="center" vertical="center"/>
    </xf>
    <xf numFmtId="2" fontId="14" fillId="3" borderId="1" xfId="0" applyNumberFormat="1" applyFont="1" applyFill="1" applyBorder="1" applyAlignment="1">
      <alignment horizontal="center" vertical="center" wrapText="1"/>
    </xf>
    <xf numFmtId="2" fontId="14" fillId="3" borderId="1" xfId="0" applyNumberFormat="1" applyFont="1" applyFill="1" applyBorder="1" applyAlignment="1">
      <alignment vertical="center" wrapText="1"/>
    </xf>
    <xf numFmtId="0" fontId="14" fillId="3" borderId="1" xfId="0" applyFont="1" applyFill="1" applyBorder="1" applyAlignment="1">
      <alignment horizontal="center" vertical="center" wrapText="1"/>
    </xf>
    <xf numFmtId="2" fontId="14" fillId="3" borderId="10" xfId="0" applyNumberFormat="1" applyFont="1" applyFill="1" applyBorder="1" applyAlignment="1">
      <alignment horizontal="center" vertical="center" wrapText="1"/>
    </xf>
    <xf numFmtId="2" fontId="14" fillId="3" borderId="1" xfId="0" applyNumberFormat="1" applyFont="1" applyFill="1" applyBorder="1" applyAlignment="1">
      <alignment vertical="center"/>
    </xf>
    <xf numFmtId="0" fontId="14" fillId="3" borderId="1" xfId="0" applyFont="1" applyFill="1" applyBorder="1" applyAlignment="1">
      <alignment vertical="center"/>
    </xf>
    <xf numFmtId="0" fontId="14" fillId="3" borderId="10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3" fontId="16" fillId="3" borderId="8" xfId="0" applyNumberFormat="1" applyFont="1" applyFill="1" applyBorder="1" applyAlignment="1">
      <alignment horizontal="center" vertical="center"/>
    </xf>
    <xf numFmtId="49" fontId="13" fillId="2" borderId="1" xfId="0" applyNumberFormat="1" applyFont="1" applyFill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" fontId="12" fillId="0" borderId="1" xfId="0" applyNumberFormat="1" applyFont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" fontId="2" fillId="2" borderId="0" xfId="0" applyNumberFormat="1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3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3" fontId="2" fillId="2" borderId="0" xfId="0" applyNumberFormat="1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17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18" fillId="0" borderId="0" xfId="4">
      <alignment horizontal="center" vertical="center"/>
    </xf>
    <xf numFmtId="0" fontId="19" fillId="0" borderId="0" xfId="4" applyFont="1" applyAlignment="1">
      <alignment vertical="center"/>
    </xf>
    <xf numFmtId="0" fontId="20" fillId="0" borderId="0" xfId="4" applyFont="1" applyAlignment="1">
      <alignment vertical="center"/>
    </xf>
    <xf numFmtId="0" fontId="21" fillId="8" borderId="8" xfId="4" applyFont="1" applyFill="1" applyBorder="1">
      <alignment horizontal="center" vertical="center"/>
    </xf>
    <xf numFmtId="0" fontId="19" fillId="9" borderId="1" xfId="4" applyFont="1" applyFill="1" applyBorder="1">
      <alignment horizontal="center" vertical="center"/>
    </xf>
    <xf numFmtId="0" fontId="19" fillId="9" borderId="10" xfId="4" applyFont="1" applyFill="1" applyBorder="1">
      <alignment horizontal="center" vertical="center"/>
    </xf>
    <xf numFmtId="0" fontId="22" fillId="10" borderId="0" xfId="4" applyFont="1" applyFill="1" applyAlignment="1"/>
    <xf numFmtId="0" fontId="23" fillId="0" borderId="0" xfId="4" applyFont="1" applyAlignment="1"/>
    <xf numFmtId="0" fontId="24" fillId="0" borderId="12" xfId="4" applyFont="1" applyBorder="1" applyAlignment="1">
      <alignment vertical="center"/>
    </xf>
    <xf numFmtId="0" fontId="25" fillId="9" borderId="1" xfId="4" applyFont="1" applyFill="1" applyBorder="1">
      <alignment horizontal="center" vertical="center"/>
    </xf>
    <xf numFmtId="0" fontId="10" fillId="8" borderId="1" xfId="4" applyFont="1" applyFill="1" applyBorder="1">
      <alignment horizontal="center" vertical="center"/>
    </xf>
    <xf numFmtId="0" fontId="18" fillId="8" borderId="1" xfId="4" applyFill="1" applyBorder="1">
      <alignment horizontal="center" vertical="center"/>
    </xf>
    <xf numFmtId="0" fontId="9" fillId="0" borderId="0" xfId="4" applyFont="1" applyAlignment="1">
      <alignment vertical="center"/>
    </xf>
    <xf numFmtId="0" fontId="27" fillId="0" borderId="0" xfId="4" applyFont="1" applyAlignment="1"/>
    <xf numFmtId="0" fontId="28" fillId="0" borderId="0" xfId="4" applyFont="1" applyAlignment="1"/>
    <xf numFmtId="0" fontId="29" fillId="0" borderId="0" xfId="4" applyFont="1" applyAlignment="1"/>
    <xf numFmtId="0" fontId="30" fillId="0" borderId="0" xfId="4" applyFont="1" applyAlignment="1"/>
    <xf numFmtId="0" fontId="31" fillId="0" borderId="17" xfId="4" applyFont="1" applyBorder="1">
      <alignment horizontal="center" vertical="center"/>
    </xf>
    <xf numFmtId="166" fontId="18" fillId="0" borderId="19" xfId="4" applyNumberFormat="1" applyBorder="1">
      <alignment horizontal="center" vertical="center"/>
    </xf>
    <xf numFmtId="166" fontId="18" fillId="0" borderId="0" xfId="4" applyNumberFormat="1">
      <alignment horizontal="center" vertical="center"/>
    </xf>
    <xf numFmtId="166" fontId="18" fillId="0" borderId="18" xfId="4" applyNumberFormat="1" applyBorder="1">
      <alignment horizontal="center" vertical="center"/>
    </xf>
    <xf numFmtId="0" fontId="28" fillId="0" borderId="1" xfId="4" applyFont="1" applyBorder="1">
      <alignment horizontal="center" vertical="center"/>
    </xf>
    <xf numFmtId="0" fontId="28" fillId="0" borderId="1" xfId="4" applyFont="1" applyBorder="1" applyAlignment="1">
      <alignment horizontal="center" vertical="center" wrapText="1"/>
    </xf>
    <xf numFmtId="0" fontId="30" fillId="0" borderId="1" xfId="4" applyFont="1" applyBorder="1" applyAlignment="1">
      <alignment horizontal="center" vertical="center" wrapText="1"/>
    </xf>
    <xf numFmtId="166" fontId="18" fillId="0" borderId="20" xfId="4" applyNumberFormat="1" applyBorder="1">
      <alignment horizontal="center" vertical="center"/>
    </xf>
    <xf numFmtId="0" fontId="28" fillId="0" borderId="1" xfId="4" applyFont="1" applyBorder="1" applyAlignment="1">
      <alignment horizontal="left"/>
    </xf>
    <xf numFmtId="0" fontId="28" fillId="0" borderId="1" xfId="4" applyFont="1" applyBorder="1" applyAlignment="1">
      <alignment horizontal="center"/>
    </xf>
    <xf numFmtId="0" fontId="23" fillId="0" borderId="1" xfId="4" applyFont="1" applyBorder="1" applyAlignment="1">
      <alignment horizontal="center"/>
    </xf>
    <xf numFmtId="0" fontId="30" fillId="0" borderId="1" xfId="5" applyFont="1" applyBorder="1"/>
    <xf numFmtId="0" fontId="30" fillId="0" borderId="1" xfId="4" applyFont="1" applyBorder="1" applyAlignment="1"/>
    <xf numFmtId="0" fontId="34" fillId="0" borderId="1" xfId="5" applyFont="1" applyBorder="1"/>
    <xf numFmtId="0" fontId="28" fillId="0" borderId="1" xfId="4" applyFont="1" applyBorder="1" applyAlignment="1"/>
    <xf numFmtId="0" fontId="35" fillId="0" borderId="1" xfId="4" applyFont="1" applyBorder="1" applyAlignment="1">
      <alignment horizontal="center"/>
    </xf>
    <xf numFmtId="0" fontId="36" fillId="0" borderId="1" xfId="5" applyFont="1" applyBorder="1"/>
    <xf numFmtId="0" fontId="36" fillId="0" borderId="1" xfId="4" applyFont="1" applyBorder="1" applyAlignment="1"/>
    <xf numFmtId="0" fontId="35" fillId="0" borderId="1" xfId="5" applyFont="1" applyBorder="1"/>
    <xf numFmtId="0" fontId="35" fillId="0" borderId="1" xfId="4" applyFont="1" applyBorder="1" applyAlignment="1"/>
    <xf numFmtId="0" fontId="31" fillId="0" borderId="15" xfId="4" applyFont="1" applyBorder="1">
      <alignment horizontal="center" vertical="center"/>
    </xf>
    <xf numFmtId="166" fontId="18" fillId="0" borderId="21" xfId="4" applyNumberFormat="1" applyBorder="1">
      <alignment horizontal="center" vertical="center"/>
    </xf>
    <xf numFmtId="166" fontId="18" fillId="0" borderId="12" xfId="4" applyNumberFormat="1" applyBorder="1">
      <alignment horizontal="center" vertical="center"/>
    </xf>
    <xf numFmtId="166" fontId="18" fillId="0" borderId="16" xfId="4" applyNumberFormat="1" applyBorder="1">
      <alignment horizontal="center" vertical="center"/>
    </xf>
    <xf numFmtId="0" fontId="9" fillId="0" borderId="0" xfId="6" applyFont="1" applyAlignment="1">
      <alignment horizontal="center" vertical="center"/>
    </xf>
    <xf numFmtId="0" fontId="37" fillId="0" borderId="0" xfId="6" applyFont="1" applyAlignment="1">
      <alignment horizontal="center" vertical="center"/>
    </xf>
    <xf numFmtId="0" fontId="9" fillId="0" borderId="0" xfId="6" applyFont="1">
      <alignment vertical="center"/>
    </xf>
    <xf numFmtId="0" fontId="10" fillId="0" borderId="0" xfId="4" applyFont="1">
      <alignment horizontal="center" vertical="center"/>
    </xf>
    <xf numFmtId="0" fontId="28" fillId="0" borderId="1" xfId="4" applyFont="1" applyBorder="1" applyAlignment="1">
      <alignment horizontal="left" vertical="center"/>
    </xf>
    <xf numFmtId="0" fontId="37" fillId="0" borderId="0" xfId="4" applyFont="1">
      <alignment horizontal="center" vertical="center"/>
    </xf>
    <xf numFmtId="0" fontId="9" fillId="0" borderId="0" xfId="4" applyFont="1" applyProtection="1">
      <alignment horizontal="center" vertical="center"/>
      <protection hidden="1"/>
    </xf>
    <xf numFmtId="0" fontId="10" fillId="0" borderId="0" xfId="4" applyFont="1" applyProtection="1">
      <alignment horizontal="center" vertical="center"/>
      <protection hidden="1"/>
    </xf>
    <xf numFmtId="0" fontId="9" fillId="0" borderId="1" xfId="6" applyFont="1" applyBorder="1" applyAlignment="1">
      <alignment horizontal="center" vertical="center"/>
    </xf>
    <xf numFmtId="0" fontId="18" fillId="0" borderId="1" xfId="6" applyBorder="1" applyAlignment="1">
      <alignment horizontal="center" vertical="center"/>
    </xf>
    <xf numFmtId="0" fontId="40" fillId="8" borderId="0" xfId="4" applyFont="1" applyFill="1">
      <alignment horizontal="center" vertical="center"/>
    </xf>
    <xf numFmtId="0" fontId="34" fillId="0" borderId="0" xfId="4" applyFont="1">
      <alignment horizontal="center" vertical="center"/>
    </xf>
    <xf numFmtId="0" fontId="34" fillId="12" borderId="0" xfId="4" applyFont="1" applyFill="1">
      <alignment horizontal="center" vertical="center"/>
    </xf>
    <xf numFmtId="0" fontId="34" fillId="12" borderId="0" xfId="4" applyFont="1" applyFill="1" applyAlignment="1">
      <alignment horizontal="left" vertical="center"/>
    </xf>
    <xf numFmtId="0" fontId="30" fillId="12" borderId="1" xfId="8" applyFont="1" applyFill="1" applyBorder="1" applyAlignment="1" applyProtection="1">
      <alignment horizontal="center" vertical="center"/>
      <protection locked="0"/>
    </xf>
    <xf numFmtId="0" fontId="43" fillId="12" borderId="1" xfId="4" applyFont="1" applyFill="1" applyBorder="1">
      <alignment horizontal="center" vertical="center"/>
    </xf>
    <xf numFmtId="0" fontId="30" fillId="4" borderId="1" xfId="4" applyFont="1" applyFill="1" applyBorder="1">
      <alignment horizontal="center" vertical="center"/>
    </xf>
    <xf numFmtId="0" fontId="30" fillId="4" borderId="21" xfId="4" applyFont="1" applyFill="1" applyBorder="1" applyAlignment="1">
      <alignment horizontal="center" vertical="center" wrapText="1"/>
    </xf>
    <xf numFmtId="0" fontId="35" fillId="4" borderId="1" xfId="4" applyFont="1" applyFill="1" applyBorder="1">
      <alignment horizontal="center" vertical="center"/>
    </xf>
    <xf numFmtId="0" fontId="34" fillId="4" borderId="1" xfId="4" applyFont="1" applyFill="1" applyBorder="1">
      <alignment horizontal="center" vertical="center"/>
    </xf>
    <xf numFmtId="165" fontId="34" fillId="4" borderId="1" xfId="4" applyNumberFormat="1" applyFont="1" applyFill="1" applyBorder="1">
      <alignment horizontal="center" vertical="center"/>
    </xf>
    <xf numFmtId="0" fontId="30" fillId="4" borderId="19" xfId="4" applyFont="1" applyFill="1" applyBorder="1" applyAlignment="1">
      <alignment vertical="center"/>
    </xf>
    <xf numFmtId="0" fontId="30" fillId="4" borderId="21" xfId="4" applyFont="1" applyFill="1" applyBorder="1" applyAlignment="1">
      <alignment vertical="center"/>
    </xf>
    <xf numFmtId="2" fontId="47" fillId="4" borderId="1" xfId="4" applyNumberFormat="1" applyFont="1" applyFill="1" applyBorder="1">
      <alignment horizontal="center" vertical="center"/>
    </xf>
    <xf numFmtId="1" fontId="34" fillId="4" borderId="1" xfId="4" applyNumberFormat="1" applyFont="1" applyFill="1" applyBorder="1">
      <alignment horizontal="center" vertical="center"/>
    </xf>
    <xf numFmtId="1" fontId="48" fillId="4" borderId="1" xfId="4" applyNumberFormat="1" applyFont="1" applyFill="1" applyBorder="1">
      <alignment horizontal="center" vertical="center"/>
    </xf>
    <xf numFmtId="0" fontId="30" fillId="12" borderId="10" xfId="8" applyFont="1" applyFill="1" applyBorder="1" applyAlignment="1" applyProtection="1">
      <alignment horizontal="center" vertical="center"/>
      <protection locked="0"/>
    </xf>
    <xf numFmtId="0" fontId="43" fillId="12" borderId="10" xfId="4" applyFont="1" applyFill="1" applyBorder="1">
      <alignment horizontal="center" vertical="center"/>
    </xf>
    <xf numFmtId="0" fontId="34" fillId="4" borderId="0" xfId="4" applyFont="1" applyFill="1">
      <alignment horizontal="center" vertical="center"/>
    </xf>
    <xf numFmtId="0" fontId="34" fillId="4" borderId="23" xfId="4" applyFont="1" applyFill="1" applyBorder="1">
      <alignment horizontal="center" vertical="center"/>
    </xf>
    <xf numFmtId="0" fontId="30" fillId="4" borderId="0" xfId="4" applyFont="1" applyFill="1">
      <alignment horizontal="center" vertical="center"/>
    </xf>
    <xf numFmtId="0" fontId="30" fillId="4" borderId="0" xfId="4" applyFont="1" applyFill="1" applyAlignment="1">
      <alignment horizontal="left" vertical="center"/>
    </xf>
    <xf numFmtId="0" fontId="34" fillId="4" borderId="0" xfId="4" applyFont="1" applyFill="1" applyAlignment="1">
      <alignment horizontal="left" vertical="center"/>
    </xf>
    <xf numFmtId="0" fontId="34" fillId="4" borderId="0" xfId="4" applyFont="1" applyFill="1" applyAlignment="1">
      <alignment horizontal="right" vertical="center"/>
    </xf>
    <xf numFmtId="0" fontId="35" fillId="4" borderId="0" xfId="4" applyFont="1" applyFill="1">
      <alignment horizontal="center" vertical="center"/>
    </xf>
    <xf numFmtId="0" fontId="34" fillId="4" borderId="23" xfId="4" applyFont="1" applyFill="1" applyBorder="1" applyAlignment="1">
      <alignment horizontal="left" vertical="center"/>
    </xf>
    <xf numFmtId="2" fontId="34" fillId="4" borderId="0" xfId="4" applyNumberFormat="1" applyFont="1" applyFill="1">
      <alignment horizontal="center" vertical="center"/>
    </xf>
    <xf numFmtId="0" fontId="43" fillId="4" borderId="0" xfId="4" applyFont="1" applyFill="1">
      <alignment horizontal="center" vertical="center"/>
    </xf>
    <xf numFmtId="0" fontId="23" fillId="4" borderId="0" xfId="4" applyFont="1" applyFill="1" applyAlignment="1">
      <alignment vertical="center"/>
    </xf>
    <xf numFmtId="0" fontId="23" fillId="4" borderId="0" xfId="4" applyFont="1" applyFill="1" applyAlignment="1">
      <alignment horizontal="right"/>
    </xf>
    <xf numFmtId="0" fontId="44" fillId="4" borderId="0" xfId="4" applyFont="1" applyFill="1">
      <alignment horizontal="center" vertical="center"/>
    </xf>
    <xf numFmtId="0" fontId="23" fillId="4" borderId="23" xfId="4" applyFont="1" applyFill="1" applyBorder="1" applyAlignment="1">
      <alignment horizontal="left" vertical="center"/>
    </xf>
    <xf numFmtId="0" fontId="23" fillId="4" borderId="0" xfId="4" applyFont="1" applyFill="1" applyAlignment="1">
      <alignment horizontal="center"/>
    </xf>
    <xf numFmtId="0" fontId="23" fillId="4" borderId="23" xfId="4" applyFont="1" applyFill="1" applyBorder="1" applyAlignment="1">
      <alignment horizontal="left"/>
    </xf>
    <xf numFmtId="0" fontId="44" fillId="4" borderId="0" xfId="4" applyFont="1" applyFill="1" applyAlignment="1" applyProtection="1">
      <alignment horizontal="center"/>
      <protection locked="0"/>
    </xf>
    <xf numFmtId="0" fontId="30" fillId="4" borderId="26" xfId="4" applyFont="1" applyFill="1" applyBorder="1" applyAlignment="1">
      <alignment horizontal="center" vertical="center" wrapText="1"/>
    </xf>
    <xf numFmtId="165" fontId="34" fillId="4" borderId="27" xfId="4" applyNumberFormat="1" applyFont="1" applyFill="1" applyBorder="1">
      <alignment horizontal="center" vertical="center"/>
    </xf>
    <xf numFmtId="0" fontId="34" fillId="4" borderId="27" xfId="4" applyFont="1" applyFill="1" applyBorder="1">
      <alignment horizontal="center" vertical="center"/>
    </xf>
    <xf numFmtId="2" fontId="47" fillId="4" borderId="27" xfId="4" applyNumberFormat="1" applyFont="1" applyFill="1" applyBorder="1">
      <alignment horizontal="center" vertical="center"/>
    </xf>
    <xf numFmtId="165" fontId="34" fillId="4" borderId="0" xfId="4" applyNumberFormat="1" applyFont="1" applyFill="1">
      <alignment horizontal="center" vertical="center"/>
    </xf>
    <xf numFmtId="165" fontId="35" fillId="4" borderId="0" xfId="4" applyNumberFormat="1" applyFont="1" applyFill="1">
      <alignment horizontal="center" vertical="center"/>
    </xf>
    <xf numFmtId="0" fontId="43" fillId="4" borderId="23" xfId="4" applyFont="1" applyFill="1" applyBorder="1">
      <alignment horizontal="center" vertical="center"/>
    </xf>
    <xf numFmtId="0" fontId="30" fillId="4" borderId="23" xfId="4" applyFont="1" applyFill="1" applyBorder="1" applyAlignment="1">
      <alignment vertical="center"/>
    </xf>
    <xf numFmtId="0" fontId="34" fillId="4" borderId="6" xfId="4" applyFont="1" applyFill="1" applyBorder="1">
      <alignment horizontal="center" vertical="center"/>
    </xf>
    <xf numFmtId="0" fontId="34" fillId="4" borderId="7" xfId="4" applyFont="1" applyFill="1" applyBorder="1">
      <alignment horizontal="center" vertical="center"/>
    </xf>
    <xf numFmtId="0" fontId="34" fillId="12" borderId="2" xfId="4" applyFont="1" applyFill="1" applyBorder="1">
      <alignment horizontal="center" vertical="center"/>
    </xf>
    <xf numFmtId="0" fontId="34" fillId="12" borderId="3" xfId="4" applyFont="1" applyFill="1" applyBorder="1">
      <alignment horizontal="center" vertical="center"/>
    </xf>
    <xf numFmtId="0" fontId="34" fillId="12" borderId="4" xfId="4" applyFont="1" applyFill="1" applyBorder="1">
      <alignment horizontal="center" vertical="center"/>
    </xf>
    <xf numFmtId="0" fontId="34" fillId="12" borderId="22" xfId="4" applyFont="1" applyFill="1" applyBorder="1">
      <alignment horizontal="center" vertical="center"/>
    </xf>
    <xf numFmtId="0" fontId="34" fillId="12" borderId="23" xfId="4" applyFont="1" applyFill="1" applyBorder="1">
      <alignment horizontal="center" vertical="center"/>
    </xf>
    <xf numFmtId="0" fontId="34" fillId="12" borderId="5" xfId="4" applyFont="1" applyFill="1" applyBorder="1">
      <alignment horizontal="center" vertical="center"/>
    </xf>
    <xf numFmtId="0" fontId="34" fillId="12" borderId="6" xfId="4" applyFont="1" applyFill="1" applyBorder="1">
      <alignment horizontal="center" vertical="center"/>
    </xf>
    <xf numFmtId="0" fontId="2" fillId="4" borderId="1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1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0" fontId="2" fillId="4" borderId="15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0" fontId="6" fillId="4" borderId="10" xfId="0" applyFont="1" applyFill="1" applyBorder="1" applyAlignment="1" applyProtection="1">
      <alignment horizontal="center" vertical="center"/>
      <protection locked="0"/>
    </xf>
    <xf numFmtId="0" fontId="6" fillId="4" borderId="1" xfId="0" applyFon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/>
      <protection locked="0"/>
    </xf>
    <xf numFmtId="0" fontId="6" fillId="4" borderId="0" xfId="0" applyFon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 textRotation="90"/>
      <protection locked="0"/>
    </xf>
    <xf numFmtId="49" fontId="6" fillId="4" borderId="0" xfId="0" applyNumberFormat="1" applyFont="1" applyFill="1" applyAlignment="1" applyProtection="1">
      <alignment horizontal="center"/>
      <protection locked="0"/>
    </xf>
    <xf numFmtId="0" fontId="2" fillId="2" borderId="0" xfId="0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0" fontId="4" fillId="4" borderId="0" xfId="1" applyFill="1" applyBorder="1" applyAlignment="1" applyProtection="1">
      <alignment horizontal="center" vertical="center" wrapText="1"/>
      <protection locked="0"/>
    </xf>
    <xf numFmtId="0" fontId="52" fillId="4" borderId="1" xfId="0" applyFont="1" applyFill="1" applyBorder="1" applyAlignment="1">
      <alignment horizontal="left" vertical="center"/>
    </xf>
    <xf numFmtId="0" fontId="52" fillId="4" borderId="8" xfId="0" applyFont="1" applyFill="1" applyBorder="1" applyAlignment="1">
      <alignment horizontal="left" vertical="center"/>
    </xf>
    <xf numFmtId="0" fontId="52" fillId="4" borderId="9" xfId="0" applyFont="1" applyFill="1" applyBorder="1" applyAlignment="1">
      <alignment horizontal="left" vertical="center"/>
    </xf>
    <xf numFmtId="0" fontId="52" fillId="4" borderId="10" xfId="0" applyFont="1" applyFill="1" applyBorder="1" applyAlignment="1">
      <alignment horizontal="left" vertical="center"/>
    </xf>
    <xf numFmtId="0" fontId="53" fillId="0" borderId="9" xfId="0" applyFont="1" applyBorder="1" applyAlignment="1">
      <alignment horizontal="left" vertical="center"/>
    </xf>
    <xf numFmtId="0" fontId="53" fillId="0" borderId="10" xfId="0" applyFont="1" applyBorder="1" applyAlignment="1">
      <alignment horizontal="left" vertical="center"/>
    </xf>
    <xf numFmtId="0" fontId="0" fillId="4" borderId="0" xfId="0" applyFill="1" applyAlignment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6" fillId="4" borderId="1" xfId="0" applyFont="1" applyFill="1" applyBorder="1" applyAlignment="1" applyProtection="1">
      <alignment horizontal="left" vertical="center"/>
      <protection locked="0"/>
    </xf>
    <xf numFmtId="0" fontId="6" fillId="0" borderId="1" xfId="0" applyFont="1" applyBorder="1" applyAlignment="1" applyProtection="1">
      <alignment horizontal="left" vertical="center"/>
      <protection locked="0"/>
    </xf>
    <xf numFmtId="0" fontId="6" fillId="4" borderId="0" xfId="0" applyFont="1" applyFill="1" applyAlignment="1" applyProtection="1">
      <alignment horizontal="center" textRotation="90"/>
      <protection locked="0"/>
    </xf>
    <xf numFmtId="0" fontId="30" fillId="4" borderId="1" xfId="8" applyFont="1" applyFill="1" applyBorder="1" applyAlignment="1" applyProtection="1">
      <alignment horizontal="center" vertical="center"/>
      <protection locked="0"/>
    </xf>
    <xf numFmtId="0" fontId="30" fillId="4" borderId="1" xfId="8" applyFont="1" applyFill="1" applyBorder="1" applyAlignment="1" applyProtection="1">
      <alignment horizontal="center" vertical="center" wrapText="1"/>
      <protection locked="0"/>
    </xf>
    <xf numFmtId="0" fontId="30" fillId="4" borderId="1" xfId="4" applyFont="1" applyFill="1" applyBorder="1">
      <alignment horizontal="center" vertical="center"/>
    </xf>
    <xf numFmtId="0" fontId="34" fillId="4" borderId="1" xfId="4" applyFont="1" applyFill="1" applyBorder="1">
      <alignment horizontal="center" vertical="center"/>
    </xf>
    <xf numFmtId="0" fontId="35" fillId="4" borderId="1" xfId="4" applyFont="1" applyFill="1" applyBorder="1">
      <alignment horizontal="center" vertical="center"/>
    </xf>
    <xf numFmtId="0" fontId="35" fillId="4" borderId="1" xfId="8" applyFont="1" applyFill="1" applyBorder="1" applyAlignment="1">
      <alignment horizontal="center" vertical="center"/>
    </xf>
    <xf numFmtId="0" fontId="42" fillId="5" borderId="2" xfId="4" applyFont="1" applyFill="1" applyBorder="1">
      <alignment horizontal="center" vertical="center"/>
    </xf>
    <xf numFmtId="0" fontId="42" fillId="5" borderId="3" xfId="4" applyFont="1" applyFill="1" applyBorder="1">
      <alignment horizontal="center" vertical="center"/>
    </xf>
    <xf numFmtId="0" fontId="42" fillId="5" borderId="4" xfId="4" applyFont="1" applyFill="1" applyBorder="1">
      <alignment horizontal="center" vertical="center"/>
    </xf>
    <xf numFmtId="0" fontId="42" fillId="5" borderId="5" xfId="4" applyFont="1" applyFill="1" applyBorder="1">
      <alignment horizontal="center" vertical="center"/>
    </xf>
    <xf numFmtId="0" fontId="42" fillId="5" borderId="6" xfId="4" applyFont="1" applyFill="1" applyBorder="1">
      <alignment horizontal="center" vertical="center"/>
    </xf>
    <xf numFmtId="0" fontId="42" fillId="5" borderId="7" xfId="4" applyFont="1" applyFill="1" applyBorder="1">
      <alignment horizontal="center" vertical="center"/>
    </xf>
    <xf numFmtId="0" fontId="30" fillId="4" borderId="19" xfId="4" applyFont="1" applyFill="1" applyBorder="1" applyAlignment="1">
      <alignment horizontal="center" vertical="center" wrapText="1"/>
    </xf>
    <xf numFmtId="0" fontId="30" fillId="4" borderId="20" xfId="4" applyFont="1" applyFill="1" applyBorder="1" applyAlignment="1">
      <alignment horizontal="center" vertical="center" wrapText="1"/>
    </xf>
    <xf numFmtId="0" fontId="30" fillId="4" borderId="24" xfId="4" applyFont="1" applyFill="1" applyBorder="1" applyAlignment="1">
      <alignment horizontal="center" vertical="center" wrapText="1"/>
    </xf>
    <xf numFmtId="0" fontId="30" fillId="4" borderId="25" xfId="4" applyFont="1" applyFill="1" applyBorder="1" applyAlignment="1">
      <alignment horizontal="center" vertical="center" wrapText="1"/>
    </xf>
    <xf numFmtId="0" fontId="30" fillId="4" borderId="1" xfId="4" applyFont="1" applyFill="1" applyBorder="1" applyAlignment="1">
      <alignment horizontal="center" vertical="center" wrapText="1"/>
    </xf>
    <xf numFmtId="0" fontId="30" fillId="4" borderId="13" xfId="4" applyFont="1" applyFill="1" applyBorder="1" applyAlignment="1">
      <alignment horizontal="center" vertical="center" wrapText="1"/>
    </xf>
    <xf numFmtId="0" fontId="30" fillId="4" borderId="14" xfId="4" applyFont="1" applyFill="1" applyBorder="1" applyAlignment="1">
      <alignment horizontal="center" vertical="center" wrapText="1"/>
    </xf>
    <xf numFmtId="0" fontId="30" fillId="4" borderId="17" xfId="4" applyFont="1" applyFill="1" applyBorder="1" applyAlignment="1">
      <alignment horizontal="center" vertical="center" wrapText="1"/>
    </xf>
    <xf numFmtId="0" fontId="30" fillId="4" borderId="18" xfId="4" applyFont="1" applyFill="1" applyBorder="1" applyAlignment="1">
      <alignment horizontal="center" vertical="center" wrapText="1"/>
    </xf>
    <xf numFmtId="0" fontId="30" fillId="4" borderId="15" xfId="4" applyFont="1" applyFill="1" applyBorder="1" applyAlignment="1">
      <alignment horizontal="center" vertical="center" wrapText="1"/>
    </xf>
    <xf numFmtId="0" fontId="30" fillId="4" borderId="16" xfId="4" applyFont="1" applyFill="1" applyBorder="1" applyAlignment="1">
      <alignment horizontal="center" vertical="center" wrapText="1"/>
    </xf>
    <xf numFmtId="0" fontId="18" fillId="0" borderId="1" xfId="6" applyBorder="1" applyAlignment="1">
      <alignment horizontal="center" vertical="center"/>
    </xf>
    <xf numFmtId="0" fontId="18" fillId="0" borderId="8" xfId="6" applyBorder="1" applyAlignment="1">
      <alignment horizontal="center" vertical="center"/>
    </xf>
    <xf numFmtId="0" fontId="18" fillId="0" borderId="10" xfId="6" applyBorder="1" applyAlignment="1">
      <alignment horizontal="center" vertical="center"/>
    </xf>
    <xf numFmtId="0" fontId="37" fillId="0" borderId="9" xfId="6" applyFont="1" applyBorder="1" applyAlignment="1">
      <alignment horizontal="center" vertical="center"/>
    </xf>
    <xf numFmtId="0" fontId="37" fillId="0" borderId="1" xfId="6" applyFont="1" applyBorder="1" applyAlignment="1">
      <alignment horizontal="center" vertical="center"/>
    </xf>
    <xf numFmtId="0" fontId="28" fillId="0" borderId="1" xfId="4" applyFont="1" applyBorder="1" applyAlignment="1">
      <alignment horizontal="center" vertical="center" textRotation="90" wrapText="1"/>
    </xf>
    <xf numFmtId="0" fontId="28" fillId="0" borderId="1" xfId="4" applyFont="1" applyBorder="1" applyAlignment="1">
      <alignment horizontal="center" vertical="center" textRotation="90"/>
    </xf>
    <xf numFmtId="0" fontId="9" fillId="0" borderId="11" xfId="6" applyFont="1" applyBorder="1" applyAlignment="1">
      <alignment horizontal="center" vertical="center"/>
    </xf>
    <xf numFmtId="0" fontId="38" fillId="0" borderId="0" xfId="6" applyFont="1" applyAlignment="1">
      <alignment horizontal="center" vertical="center"/>
    </xf>
    <xf numFmtId="0" fontId="38" fillId="0" borderId="12" xfId="6" applyFont="1" applyBorder="1" applyAlignment="1">
      <alignment horizontal="center" vertical="center"/>
    </xf>
    <xf numFmtId="0" fontId="19" fillId="11" borderId="19" xfId="6" applyFont="1" applyFill="1" applyBorder="1" applyAlignment="1" applyProtection="1">
      <alignment horizontal="center" vertical="center"/>
      <protection locked="0"/>
    </xf>
    <xf numFmtId="0" fontId="19" fillId="11" borderId="21" xfId="6" applyFont="1" applyFill="1" applyBorder="1" applyAlignment="1" applyProtection="1">
      <alignment horizontal="center" vertical="center"/>
      <protection locked="0"/>
    </xf>
    <xf numFmtId="0" fontId="19" fillId="11" borderId="1" xfId="6" applyFont="1" applyFill="1" applyBorder="1" applyAlignment="1" applyProtection="1">
      <alignment horizontal="center" vertical="center" wrapText="1"/>
      <protection locked="0"/>
    </xf>
    <xf numFmtId="0" fontId="19" fillId="11" borderId="1" xfId="6" applyFont="1" applyFill="1" applyBorder="1" applyAlignment="1" applyProtection="1">
      <alignment horizontal="center" vertical="center"/>
      <protection locked="0"/>
    </xf>
    <xf numFmtId="0" fontId="28" fillId="0" borderId="1" xfId="4" applyFont="1" applyBorder="1">
      <alignment horizontal="center" vertical="center"/>
    </xf>
    <xf numFmtId="0" fontId="11" fillId="0" borderId="0" xfId="4" applyFont="1">
      <alignment horizontal="center" vertical="center"/>
    </xf>
    <xf numFmtId="0" fontId="19" fillId="0" borderId="12" xfId="4" applyFont="1" applyBorder="1">
      <alignment horizontal="center" vertical="center"/>
    </xf>
    <xf numFmtId="0" fontId="20" fillId="0" borderId="1" xfId="4" applyFont="1" applyBorder="1">
      <alignment horizontal="center" vertical="center"/>
    </xf>
    <xf numFmtId="0" fontId="20" fillId="0" borderId="15" xfId="4" applyFont="1" applyBorder="1">
      <alignment horizontal="center" vertical="center"/>
    </xf>
    <xf numFmtId="0" fontId="20" fillId="0" borderId="12" xfId="4" applyFont="1" applyBorder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14" fillId="3" borderId="10" xfId="0" applyFont="1" applyFill="1" applyBorder="1" applyAlignment="1">
      <alignment horizontal="center" vertical="center"/>
    </xf>
    <xf numFmtId="3" fontId="16" fillId="3" borderId="13" xfId="0" applyNumberFormat="1" applyFont="1" applyFill="1" applyBorder="1" applyAlignment="1">
      <alignment horizontal="center" vertical="center" wrapText="1"/>
    </xf>
    <xf numFmtId="3" fontId="16" fillId="3" borderId="15" xfId="0" applyNumberFormat="1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/>
    </xf>
    <xf numFmtId="49" fontId="14" fillId="3" borderId="19" xfId="0" applyNumberFormat="1" applyFont="1" applyFill="1" applyBorder="1" applyAlignment="1">
      <alignment horizontal="center" vertical="center" wrapText="1"/>
    </xf>
    <xf numFmtId="49" fontId="14" fillId="3" borderId="20" xfId="0" applyNumberFormat="1" applyFont="1" applyFill="1" applyBorder="1" applyAlignment="1">
      <alignment horizontal="center" vertical="center" wrapText="1"/>
    </xf>
    <xf numFmtId="49" fontId="14" fillId="3" borderId="21" xfId="0" applyNumberFormat="1" applyFont="1" applyFill="1" applyBorder="1" applyAlignment="1">
      <alignment horizontal="center" vertical="center" wrapText="1"/>
    </xf>
    <xf numFmtId="3" fontId="16" fillId="3" borderId="19" xfId="0" applyNumberFormat="1" applyFont="1" applyFill="1" applyBorder="1" applyAlignment="1">
      <alignment horizontal="center" vertical="center" wrapText="1"/>
    </xf>
    <xf numFmtId="3" fontId="16" fillId="3" borderId="20" xfId="0" applyNumberFormat="1" applyFont="1" applyFill="1" applyBorder="1" applyAlignment="1">
      <alignment horizontal="center" vertical="center" wrapText="1"/>
    </xf>
    <xf numFmtId="3" fontId="16" fillId="3" borderId="21" xfId="0" applyNumberFormat="1" applyFont="1" applyFill="1" applyBorder="1" applyAlignment="1">
      <alignment horizontal="center" vertical="center" wrapText="1"/>
    </xf>
    <xf numFmtId="0" fontId="14" fillId="3" borderId="9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8" xfId="0" applyFont="1" applyBorder="1" applyAlignment="1">
      <alignment horizontal="left" vertical="center"/>
    </xf>
    <xf numFmtId="0" fontId="13" fillId="0" borderId="9" xfId="0" applyFont="1" applyBorder="1" applyAlignment="1">
      <alignment horizontal="left" vertical="center"/>
    </xf>
    <xf numFmtId="0" fontId="13" fillId="4" borderId="8" xfId="0" applyFont="1" applyFill="1" applyBorder="1" applyAlignment="1">
      <alignment horizontal="left" vertical="center"/>
    </xf>
    <xf numFmtId="0" fontId="13" fillId="4" borderId="9" xfId="0" applyFont="1" applyFill="1" applyBorder="1" applyAlignment="1">
      <alignment horizontal="left" vertical="center"/>
    </xf>
    <xf numFmtId="0" fontId="13" fillId="4" borderId="10" xfId="0" applyFont="1" applyFill="1" applyBorder="1" applyAlignment="1">
      <alignment horizontal="left" vertical="center"/>
    </xf>
  </cellXfs>
  <cellStyles count="9">
    <cellStyle name="Hyperlink" xfId="1" builtinId="8"/>
    <cellStyle name="Normal" xfId="0" builtinId="0"/>
    <cellStyle name="Normal 2" xfId="2" xr:uid="{00000000-0005-0000-0000-000002000000}"/>
    <cellStyle name="Normal 2 2" xfId="3" xr:uid="{00000000-0005-0000-0000-000003000000}"/>
    <cellStyle name="Normal 2 2 2" xfId="5" xr:uid="{FD17B607-9766-47D0-BF5D-C98657347481}"/>
    <cellStyle name="Normal 3" xfId="4" xr:uid="{E32B2DD9-0181-4595-9597-32612475997E}"/>
    <cellStyle name="Normal_Bảng tra" xfId="6" xr:uid="{9212DB58-5161-4B45-A389-A3F39989FB5A}"/>
    <cellStyle name="Normal_Stairs" xfId="8" xr:uid="{5431C1EE-13BB-4CE0-BE8B-BA19A5036373}"/>
    <cellStyle name="Tieu de phu" xfId="7" xr:uid="{92BAEAEC-A92B-4AA5-B8D5-547C8F9A7D95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3697123838512E-2"/>
          <c:y val="2.7722393676894025E-2"/>
          <c:w val="0.89314642374410758"/>
          <c:h val="0.95663732780299648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'Cau Thang Tools'!$BZ$2:$BZ$25</c:f>
              <c:numCache>
                <c:formatCode>General</c:formatCode>
                <c:ptCount val="24"/>
                <c:pt idx="0">
                  <c:v>0</c:v>
                </c:pt>
                <c:pt idx="1">
                  <c:v>2000</c:v>
                </c:pt>
                <c:pt idx="2">
                  <c:v>2000</c:v>
                </c:pt>
                <c:pt idx="3">
                  <c:v>5000</c:v>
                </c:pt>
                <c:pt idx="4">
                  <c:v>5000</c:v>
                </c:pt>
                <c:pt idx="5">
                  <c:v>6500</c:v>
                </c:pt>
                <c:pt idx="6">
                  <c:v>6500</c:v>
                </c:pt>
                <c:pt idx="7">
                  <c:v>6300</c:v>
                </c:pt>
                <c:pt idx="8">
                  <c:v>6300</c:v>
                </c:pt>
                <c:pt idx="9">
                  <c:v>5200</c:v>
                </c:pt>
                <c:pt idx="10">
                  <c:v>5200</c:v>
                </c:pt>
                <c:pt idx="11">
                  <c:v>5000</c:v>
                </c:pt>
                <c:pt idx="12" formatCode="0">
                  <c:v>5000</c:v>
                </c:pt>
                <c:pt idx="13" formatCode="0">
                  <c:v>5000</c:v>
                </c:pt>
                <c:pt idx="14" formatCode="0">
                  <c:v>2150</c:v>
                </c:pt>
                <c:pt idx="15" formatCode="0">
                  <c:v>2150</c:v>
                </c:pt>
                <c:pt idx="16">
                  <c:v>2150</c:v>
                </c:pt>
                <c:pt idx="17">
                  <c:v>2150</c:v>
                </c:pt>
                <c:pt idx="18">
                  <c:v>1900</c:v>
                </c:pt>
                <c:pt idx="19">
                  <c:v>1900</c:v>
                </c:pt>
                <c:pt idx="20">
                  <c:v>200</c:v>
                </c:pt>
                <c:pt idx="21">
                  <c:v>200</c:v>
                </c:pt>
                <c:pt idx="22">
                  <c:v>0</c:v>
                </c:pt>
                <c:pt idx="23">
                  <c:v>0</c:v>
                </c:pt>
              </c:numCache>
            </c:numRef>
          </c:xVal>
          <c:yVal>
            <c:numRef>
              <c:f>'Cau Thang Tools'!$CA$2:$CA$25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314.28571428571428</c:v>
                </c:pt>
                <c:pt idx="3">
                  <c:v>2042.8571428571429</c:v>
                </c:pt>
                <c:pt idx="4">
                  <c:v>2200</c:v>
                </c:pt>
                <c:pt idx="5">
                  <c:v>2200</c:v>
                </c:pt>
                <c:pt idx="6">
                  <c:v>1800</c:v>
                </c:pt>
                <c:pt idx="7">
                  <c:v>1800</c:v>
                </c:pt>
                <c:pt idx="8">
                  <c:v>2080</c:v>
                </c:pt>
                <c:pt idx="9">
                  <c:v>2080</c:v>
                </c:pt>
                <c:pt idx="10">
                  <c:v>1800</c:v>
                </c:pt>
                <c:pt idx="11">
                  <c:v>1800</c:v>
                </c:pt>
                <c:pt idx="12">
                  <c:v>1800</c:v>
                </c:pt>
                <c:pt idx="13">
                  <c:v>1904.3626133843964</c:v>
                </c:pt>
                <c:pt idx="14">
                  <c:v>262.21975624153885</c:v>
                </c:pt>
                <c:pt idx="15">
                  <c:v>-120</c:v>
                </c:pt>
                <c:pt idx="16">
                  <c:v>-120</c:v>
                </c:pt>
                <c:pt idx="17">
                  <c:v>-400</c:v>
                </c:pt>
                <c:pt idx="18">
                  <c:v>-400</c:v>
                </c:pt>
                <c:pt idx="19">
                  <c:v>-120</c:v>
                </c:pt>
                <c:pt idx="20">
                  <c:v>-120</c:v>
                </c:pt>
                <c:pt idx="21">
                  <c:v>-400</c:v>
                </c:pt>
                <c:pt idx="22">
                  <c:v>-400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DC-4C43-973D-936ACBF49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08282464"/>
        <c:axId val="-808280832"/>
      </c:scatterChar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-808286272"/>
        <c:axId val="-80827430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marker>
                    <c:symbol val="none"/>
                  </c:marker>
                  <c:bubble3D val="0"/>
                  <c:spPr>
                    <a:ln w="28575" cap="rnd">
                      <a:solidFill>
                        <a:schemeClr val="accent2"/>
                      </a:solidFill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2-60DC-4C43-973D-936ACBF49FB3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'Cau Thang Tools'!$CI$1:$CI$2</c15:sqref>
                        </c15:formulaRef>
                      </c:ext>
                    </c:extLst>
                    <c:numCache>
                      <c:formatCode>0</c:formatCode>
                      <c:ptCount val="2"/>
                      <c:pt idx="0">
                        <c:v>0</c:v>
                      </c:pt>
                      <c:pt idx="1">
                        <c:v>4333.333333333333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'Cau Thang Tools'!$CI$3:$CI$4</c15:sqref>
                        </c15:formulaRef>
                      </c:ext>
                    </c:extLst>
                    <c:numCache>
                      <c:formatCode>0</c:formatCode>
                      <c:ptCount val="2"/>
                      <c:pt idx="0">
                        <c:v>0</c:v>
                      </c:pt>
                      <c:pt idx="1">
                        <c:v>2166.6666666666665</c:v>
                      </c:pt>
                    </c:numCache>
                  </c:numRef>
                </c:yVal>
                <c:smooth val="0"/>
                <c:extLst>
                  <c:ext uri="{02D57815-91ED-43cb-92C2-25804820EDAC}">
                    <c15:filteredSeriesTitle>
                      <c15:tx>
                        <c:v>Bao</c:v>
                      </c15:tx>
                    </c15:filteredSeriesTitle>
                  </c:ext>
                  <c:ext xmlns:c16="http://schemas.microsoft.com/office/drawing/2014/chart" uri="{C3380CC4-5D6E-409C-BE32-E72D297353CC}">
                    <c16:uniqueId val="{00000003-60DC-4C43-973D-936ACBF49FB3}"/>
                  </c:ext>
                </c:extLst>
              </c15:ser>
            </c15:filteredScatterSeries>
          </c:ext>
        </c:extLst>
      </c:scatterChart>
      <c:valAx>
        <c:axId val="-8082824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808280832"/>
        <c:crosses val="autoZero"/>
        <c:crossBetween val="midCat"/>
      </c:valAx>
      <c:valAx>
        <c:axId val="-8082808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08282464"/>
        <c:crosses val="autoZero"/>
        <c:crossBetween val="midCat"/>
      </c:valAx>
      <c:valAx>
        <c:axId val="-808274304"/>
        <c:scaling>
          <c:orientation val="minMax"/>
        </c:scaling>
        <c:delete val="1"/>
        <c:axPos val="r"/>
        <c:numFmt formatCode="0" sourceLinked="1"/>
        <c:majorTickMark val="none"/>
        <c:minorTickMark val="none"/>
        <c:tickLblPos val="nextTo"/>
        <c:crossAx val="-808286272"/>
        <c:crosses val="max"/>
        <c:crossBetween val="midCat"/>
      </c:valAx>
      <c:valAx>
        <c:axId val="-80828627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-80827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7</xdr:row>
      <xdr:rowOff>123825</xdr:rowOff>
    </xdr:from>
    <xdr:to>
      <xdr:col>11</xdr:col>
      <xdr:colOff>17145</xdr:colOff>
      <xdr:row>19</xdr:row>
      <xdr:rowOff>3362</xdr:rowOff>
    </xdr:to>
    <xdr:pic>
      <xdr:nvPicPr>
        <xdr:cNvPr id="2" name="Picture 198">
          <a:extLst>
            <a:ext uri="{FF2B5EF4-FFF2-40B4-BE49-F238E27FC236}">
              <a16:creationId xmlns:a16="http://schemas.microsoft.com/office/drawing/2014/main" id="{916CAE83-08FA-4B71-922B-B904457B12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bright="-10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53" r="3653"/>
        <a:stretch>
          <a:fillRect/>
        </a:stretch>
      </xdr:blipFill>
      <xdr:spPr bwMode="auto">
        <a:xfrm>
          <a:off x="3162300" y="1365885"/>
          <a:ext cx="3017520" cy="19278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7</xdr:row>
          <xdr:rowOff>123825</xdr:rowOff>
        </xdr:from>
        <xdr:to>
          <xdr:col>17</xdr:col>
          <xdr:colOff>438150</xdr:colOff>
          <xdr:row>19</xdr:row>
          <xdr:rowOff>9525</xdr:rowOff>
        </xdr:to>
        <xdr:sp macro="" textlink="">
          <xdr:nvSpPr>
            <xdr:cNvPr id="11265" name="Object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11431</xdr:colOff>
      <xdr:row>1</xdr:row>
      <xdr:rowOff>1</xdr:rowOff>
    </xdr:from>
    <xdr:to>
      <xdr:col>75</xdr:col>
      <xdr:colOff>64771</xdr:colOff>
      <xdr:row>17</xdr:row>
      <xdr:rowOff>1681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75640</xdr:colOff>
      <xdr:row>19</xdr:row>
      <xdr:rowOff>31936</xdr:rowOff>
    </xdr:from>
    <xdr:to>
      <xdr:col>71</xdr:col>
      <xdr:colOff>14567</xdr:colOff>
      <xdr:row>34</xdr:row>
      <xdr:rowOff>114300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GrpSpPr/>
      </xdr:nvGrpSpPr>
      <xdr:grpSpPr>
        <a:xfrm>
          <a:off x="579905" y="3651436"/>
          <a:ext cx="6628838" cy="2939864"/>
          <a:chOff x="827287" y="3641912"/>
          <a:chExt cx="9349602" cy="2810264"/>
        </a:xfrm>
      </xdr:grpSpPr>
      <xdr:cxnSp macro="">
        <xdr:nvCxnSpPr>
          <xdr:cNvPr id="112" name="Straight Arrow Connector 111">
            <a:extLst>
              <a:ext uri="{FF2B5EF4-FFF2-40B4-BE49-F238E27FC236}">
                <a16:creationId xmlns:a16="http://schemas.microsoft.com/office/drawing/2014/main" id="{00000000-0008-0000-0200-000070000000}"/>
              </a:ext>
            </a:extLst>
          </xdr:cNvPr>
          <xdr:cNvCxnSpPr/>
        </xdr:nvCxnSpPr>
        <xdr:spPr>
          <a:xfrm>
            <a:off x="5443385" y="4771086"/>
            <a:ext cx="143050" cy="148557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54" name="Group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GrpSpPr/>
        </xdr:nvGrpSpPr>
        <xdr:grpSpPr>
          <a:xfrm>
            <a:off x="827287" y="3641912"/>
            <a:ext cx="9349602" cy="2810264"/>
            <a:chOff x="851647" y="3641912"/>
            <a:chExt cx="9558617" cy="2810264"/>
          </a:xfrm>
        </xdr:grpSpPr>
        <xdr:cxnSp macro="">
          <xdr:nvCxnSpPr>
            <xdr:cNvPr id="40" name="Straight Connector 39">
              <a:extLst>
                <a:ext uri="{FF2B5EF4-FFF2-40B4-BE49-F238E27FC236}">
                  <a16:creationId xmlns:a16="http://schemas.microsoft.com/office/drawing/2014/main" id="{00000000-0008-0000-0200-000028000000}"/>
                </a:ext>
              </a:extLst>
            </xdr:cNvPr>
            <xdr:cNvCxnSpPr/>
          </xdr:nvCxnSpPr>
          <xdr:spPr>
            <a:xfrm flipH="1" flipV="1">
              <a:off x="986118" y="3641912"/>
              <a:ext cx="11206" cy="2140324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200-000034000000}"/>
                </a:ext>
              </a:extLst>
            </xdr:cNvPr>
            <xdr:cNvGrpSpPr/>
          </xdr:nvGrpSpPr>
          <xdr:grpSpPr>
            <a:xfrm>
              <a:off x="851647" y="3641912"/>
              <a:ext cx="9558617" cy="2810264"/>
              <a:chOff x="851647" y="3641912"/>
              <a:chExt cx="9558617" cy="2810264"/>
            </a:xfrm>
          </xdr:grpSpPr>
          <xdr:cxnSp macro="">
            <xdr:nvCxnSpPr>
              <xdr:cNvPr id="110" name="Straight Arrow Connector 109">
                <a:extLst>
                  <a:ext uri="{FF2B5EF4-FFF2-40B4-BE49-F238E27FC236}">
                    <a16:creationId xmlns:a16="http://schemas.microsoft.com/office/drawing/2014/main" id="{00000000-0008-0000-0200-00006E000000}"/>
                  </a:ext>
                </a:extLst>
              </xdr:cNvPr>
              <xdr:cNvCxnSpPr/>
            </xdr:nvCxnSpPr>
            <xdr:spPr>
              <a:xfrm>
                <a:off x="7369698" y="3850393"/>
                <a:ext cx="5485" cy="216246"/>
              </a:xfrm>
              <a:prstGeom prst="straightConnector1">
                <a:avLst/>
              </a:prstGeom>
              <a:ln>
                <a:headEnd type="triangle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" name="Straight Arrow Connector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CxnSpPr/>
            </xdr:nvCxnSpPr>
            <xdr:spPr>
              <a:xfrm>
                <a:off x="10410264" y="3821206"/>
                <a:ext cx="0" cy="235323"/>
              </a:xfrm>
              <a:prstGeom prst="straightConnector1">
                <a:avLst/>
              </a:prstGeom>
              <a:ln>
                <a:headEnd type="triangle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" name="Straight Arrow Connector 7">
                <a:extLst>
                  <a:ext uri="{FF2B5EF4-FFF2-40B4-BE49-F238E27FC236}">
                    <a16:creationId xmlns:a16="http://schemas.microsoft.com/office/drawing/2014/main" id="{00000000-0008-0000-0200-000008000000}"/>
                  </a:ext>
                </a:extLst>
              </xdr:cNvPr>
              <xdr:cNvCxnSpPr/>
            </xdr:nvCxnSpPr>
            <xdr:spPr>
              <a:xfrm>
                <a:off x="10410264" y="4045323"/>
                <a:ext cx="0" cy="268942"/>
              </a:xfrm>
              <a:prstGeom prst="straightConnector1">
                <a:avLst/>
              </a:prstGeom>
              <a:ln>
                <a:headEnd type="triangle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grpSp>
            <xdr:nvGrpSpPr>
              <xdr:cNvPr id="50" name="Group 49">
                <a:extLst>
                  <a:ext uri="{FF2B5EF4-FFF2-40B4-BE49-F238E27FC236}">
                    <a16:creationId xmlns:a16="http://schemas.microsoft.com/office/drawing/2014/main" id="{00000000-0008-0000-0200-000032000000}"/>
                  </a:ext>
                </a:extLst>
              </xdr:cNvPr>
              <xdr:cNvGrpSpPr/>
            </xdr:nvGrpSpPr>
            <xdr:grpSpPr>
              <a:xfrm>
                <a:off x="851647" y="3641912"/>
                <a:ext cx="9460440" cy="2810264"/>
                <a:chOff x="851647" y="3641912"/>
                <a:chExt cx="9460440" cy="2810264"/>
              </a:xfrm>
            </xdr:grpSpPr>
            <xdr:cxnSp macro="">
              <xdr:nvCxnSpPr>
                <xdr:cNvPr id="94" name="Straight Arrow Connector 93">
                  <a:extLst>
                    <a:ext uri="{FF2B5EF4-FFF2-40B4-BE49-F238E27FC236}">
                      <a16:creationId xmlns:a16="http://schemas.microsoft.com/office/drawing/2014/main" id="{00000000-0008-0000-0200-00005E000000}"/>
                    </a:ext>
                  </a:extLst>
                </xdr:cNvPr>
                <xdr:cNvCxnSpPr/>
              </xdr:nvCxnSpPr>
              <xdr:spPr>
                <a:xfrm>
                  <a:off x="8326531" y="4449205"/>
                  <a:ext cx="426212" cy="1430"/>
                </a:xfrm>
                <a:prstGeom prst="straightConnector1">
                  <a:avLst/>
                </a:prstGeom>
                <a:ln>
                  <a:headEnd type="triangle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97" name="Straight Arrow Connector 96">
                  <a:extLst>
                    <a:ext uri="{FF2B5EF4-FFF2-40B4-BE49-F238E27FC236}">
                      <a16:creationId xmlns:a16="http://schemas.microsoft.com/office/drawing/2014/main" id="{00000000-0008-0000-0200-000061000000}"/>
                    </a:ext>
                  </a:extLst>
                </xdr:cNvPr>
                <xdr:cNvCxnSpPr/>
              </xdr:nvCxnSpPr>
              <xdr:spPr>
                <a:xfrm>
                  <a:off x="8716196" y="4450635"/>
                  <a:ext cx="1315698" cy="15835"/>
                </a:xfrm>
                <a:prstGeom prst="straightConnector1">
                  <a:avLst/>
                </a:prstGeom>
                <a:ln>
                  <a:headEnd type="triangle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0" name="Straight Arrow Connector 99">
                  <a:extLst>
                    <a:ext uri="{FF2B5EF4-FFF2-40B4-BE49-F238E27FC236}">
                      <a16:creationId xmlns:a16="http://schemas.microsoft.com/office/drawing/2014/main" id="{00000000-0008-0000-0200-000064000000}"/>
                    </a:ext>
                  </a:extLst>
                </xdr:cNvPr>
                <xdr:cNvCxnSpPr/>
              </xdr:nvCxnSpPr>
              <xdr:spPr>
                <a:xfrm flipV="1">
                  <a:off x="9958797" y="4458552"/>
                  <a:ext cx="353290" cy="7918"/>
                </a:xfrm>
                <a:prstGeom prst="straightConnector1">
                  <a:avLst/>
                </a:prstGeom>
                <a:ln>
                  <a:headEnd type="triangle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7" name="Straight Arrow Connector 116">
                  <a:extLst>
                    <a:ext uri="{FF2B5EF4-FFF2-40B4-BE49-F238E27FC236}">
                      <a16:creationId xmlns:a16="http://schemas.microsoft.com/office/drawing/2014/main" id="{00000000-0008-0000-0200-000075000000}"/>
                    </a:ext>
                  </a:extLst>
                </xdr:cNvPr>
                <xdr:cNvCxnSpPr/>
              </xdr:nvCxnSpPr>
              <xdr:spPr>
                <a:xfrm>
                  <a:off x="3406028" y="5467350"/>
                  <a:ext cx="0" cy="342900"/>
                </a:xfrm>
                <a:prstGeom prst="straightConnector1">
                  <a:avLst/>
                </a:prstGeom>
                <a:ln>
                  <a:headEnd type="triangle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0" name="Straight Arrow Connector 119">
                  <a:extLst>
                    <a:ext uri="{FF2B5EF4-FFF2-40B4-BE49-F238E27FC236}">
                      <a16:creationId xmlns:a16="http://schemas.microsoft.com/office/drawing/2014/main" id="{00000000-0008-0000-0200-000078000000}"/>
                    </a:ext>
                  </a:extLst>
                </xdr:cNvPr>
                <xdr:cNvCxnSpPr/>
              </xdr:nvCxnSpPr>
              <xdr:spPr>
                <a:xfrm>
                  <a:off x="896381" y="6452176"/>
                  <a:ext cx="438745" cy="0"/>
                </a:xfrm>
                <a:prstGeom prst="straightConnector1">
                  <a:avLst/>
                </a:prstGeom>
                <a:ln>
                  <a:headEnd type="triangle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2" name="Straight Arrow Connector 121">
                  <a:extLst>
                    <a:ext uri="{FF2B5EF4-FFF2-40B4-BE49-F238E27FC236}">
                      <a16:creationId xmlns:a16="http://schemas.microsoft.com/office/drawing/2014/main" id="{00000000-0008-0000-0200-00007A000000}"/>
                    </a:ext>
                  </a:extLst>
                </xdr:cNvPr>
                <xdr:cNvCxnSpPr/>
              </xdr:nvCxnSpPr>
              <xdr:spPr>
                <a:xfrm flipV="1">
                  <a:off x="1276627" y="6448426"/>
                  <a:ext cx="1271031" cy="3750"/>
                </a:xfrm>
                <a:prstGeom prst="straightConnector1">
                  <a:avLst/>
                </a:prstGeom>
                <a:ln>
                  <a:headEnd type="triangle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4" name="Straight Arrow Connector 123">
                  <a:extLst>
                    <a:ext uri="{FF2B5EF4-FFF2-40B4-BE49-F238E27FC236}">
                      <a16:creationId xmlns:a16="http://schemas.microsoft.com/office/drawing/2014/main" id="{00000000-0008-0000-0200-00007C000000}"/>
                    </a:ext>
                  </a:extLst>
                </xdr:cNvPr>
                <xdr:cNvCxnSpPr/>
              </xdr:nvCxnSpPr>
              <xdr:spPr>
                <a:xfrm>
                  <a:off x="2500032" y="6448425"/>
                  <a:ext cx="429201" cy="3751"/>
                </a:xfrm>
                <a:prstGeom prst="straightConnector1">
                  <a:avLst/>
                </a:prstGeom>
                <a:ln>
                  <a:headEnd type="triangle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9" name="Straight Arrow Connector 128">
                  <a:extLst>
                    <a:ext uri="{FF2B5EF4-FFF2-40B4-BE49-F238E27FC236}">
                      <a16:creationId xmlns:a16="http://schemas.microsoft.com/office/drawing/2014/main" id="{00000000-0008-0000-0200-000081000000}"/>
                    </a:ext>
                  </a:extLst>
                </xdr:cNvPr>
                <xdr:cNvCxnSpPr/>
              </xdr:nvCxnSpPr>
              <xdr:spPr>
                <a:xfrm flipH="1">
                  <a:off x="1731869" y="5334000"/>
                  <a:ext cx="1" cy="485775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33" name="Straight Connector 132">
                  <a:extLst>
                    <a:ext uri="{FF2B5EF4-FFF2-40B4-BE49-F238E27FC236}">
                      <a16:creationId xmlns:a16="http://schemas.microsoft.com/office/drawing/2014/main" id="{00000000-0008-0000-0200-000085000000}"/>
                    </a:ext>
                  </a:extLst>
                </xdr:cNvPr>
                <xdr:cNvCxnSpPr/>
              </xdr:nvCxnSpPr>
              <xdr:spPr>
                <a:xfrm>
                  <a:off x="1545291" y="5681386"/>
                  <a:ext cx="926166" cy="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" name="Straight Arrow Connector 11">
                  <a:extLst>
                    <a:ext uri="{FF2B5EF4-FFF2-40B4-BE49-F238E27FC236}">
                      <a16:creationId xmlns:a16="http://schemas.microsoft.com/office/drawing/2014/main" id="{00000000-0008-0000-0200-00000C000000}"/>
                    </a:ext>
                  </a:extLst>
                </xdr:cNvPr>
                <xdr:cNvCxnSpPr/>
              </xdr:nvCxnSpPr>
              <xdr:spPr>
                <a:xfrm>
                  <a:off x="851647" y="5782235"/>
                  <a:ext cx="0" cy="246529"/>
                </a:xfrm>
                <a:prstGeom prst="straightConnector1">
                  <a:avLst/>
                </a:prstGeom>
                <a:ln>
                  <a:headEnd type="triangle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" name="Straight Arrow Connector 13">
                  <a:extLst>
                    <a:ext uri="{FF2B5EF4-FFF2-40B4-BE49-F238E27FC236}">
                      <a16:creationId xmlns:a16="http://schemas.microsoft.com/office/drawing/2014/main" id="{00000000-0008-0000-0200-00000E000000}"/>
                    </a:ext>
                  </a:extLst>
                </xdr:cNvPr>
                <xdr:cNvCxnSpPr/>
              </xdr:nvCxnSpPr>
              <xdr:spPr>
                <a:xfrm>
                  <a:off x="851647" y="5995147"/>
                  <a:ext cx="0" cy="268941"/>
                </a:xfrm>
                <a:prstGeom prst="straightConnector1">
                  <a:avLst/>
                </a:prstGeom>
                <a:ln>
                  <a:headEnd type="triangle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6" name="Straight Arrow Connector 25">
                  <a:extLst>
                    <a:ext uri="{FF2B5EF4-FFF2-40B4-BE49-F238E27FC236}">
                      <a16:creationId xmlns:a16="http://schemas.microsoft.com/office/drawing/2014/main" id="{00000000-0008-0000-0200-00001A000000}"/>
                    </a:ext>
                  </a:extLst>
                </xdr:cNvPr>
                <xdr:cNvCxnSpPr/>
              </xdr:nvCxnSpPr>
              <xdr:spPr>
                <a:xfrm flipV="1">
                  <a:off x="851647" y="3854824"/>
                  <a:ext cx="0" cy="1949823"/>
                </a:xfrm>
                <a:prstGeom prst="straightConnector1">
                  <a:avLst/>
                </a:prstGeom>
                <a:ln>
                  <a:headEnd type="triangle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grpSp>
              <xdr:nvGrpSpPr>
                <xdr:cNvPr id="48" name="Group 47">
                  <a:extLst>
                    <a:ext uri="{FF2B5EF4-FFF2-40B4-BE49-F238E27FC236}">
                      <a16:creationId xmlns:a16="http://schemas.microsoft.com/office/drawing/2014/main" id="{00000000-0008-0000-0200-000030000000}"/>
                    </a:ext>
                  </a:extLst>
                </xdr:cNvPr>
                <xdr:cNvGrpSpPr/>
              </xdr:nvGrpSpPr>
              <xdr:grpSpPr>
                <a:xfrm>
                  <a:off x="851647" y="3641912"/>
                  <a:ext cx="9431944" cy="2615099"/>
                  <a:chOff x="851647" y="3641912"/>
                  <a:chExt cx="9431944" cy="2615099"/>
                </a:xfrm>
              </xdr:grpSpPr>
              <xdr:grpSp>
                <xdr:nvGrpSpPr>
                  <xdr:cNvPr id="47" name="Group 46">
                    <a:extLst>
                      <a:ext uri="{FF2B5EF4-FFF2-40B4-BE49-F238E27FC236}">
                        <a16:creationId xmlns:a16="http://schemas.microsoft.com/office/drawing/2014/main" id="{00000000-0008-0000-0200-00002F000000}"/>
                      </a:ext>
                    </a:extLst>
                  </xdr:cNvPr>
                  <xdr:cNvGrpSpPr/>
                </xdr:nvGrpSpPr>
                <xdr:grpSpPr>
                  <a:xfrm>
                    <a:off x="974913" y="3641912"/>
                    <a:ext cx="9308678" cy="2615099"/>
                    <a:chOff x="974913" y="3641912"/>
                    <a:chExt cx="9308678" cy="2615099"/>
                  </a:xfrm>
                </xdr:grpSpPr>
                <xdr:grpSp>
                  <xdr:nvGrpSpPr>
                    <xdr:cNvPr id="89" name="Group 88">
                      <a:extLst>
                        <a:ext uri="{FF2B5EF4-FFF2-40B4-BE49-F238E27FC236}">
                          <a16:creationId xmlns:a16="http://schemas.microsoft.com/office/drawing/2014/main" id="{00000000-0008-0000-0200-000059000000}"/>
                        </a:ext>
                      </a:extLst>
                    </xdr:cNvPr>
                    <xdr:cNvGrpSpPr/>
                  </xdr:nvGrpSpPr>
                  <xdr:grpSpPr>
                    <a:xfrm>
                      <a:off x="979625" y="3844772"/>
                      <a:ext cx="9303966" cy="2412239"/>
                      <a:chOff x="7127560" y="655134"/>
                      <a:chExt cx="6134293" cy="2412239"/>
                    </a:xfrm>
                  </xdr:grpSpPr>
                  <xdr:cxnSp macro="">
                    <xdr:nvCxnSpPr>
                      <xdr:cNvPr id="49" name="Straight Connector 48">
                        <a:extLst>
                          <a:ext uri="{FF2B5EF4-FFF2-40B4-BE49-F238E27FC236}">
                            <a16:creationId xmlns:a16="http://schemas.microsoft.com/office/drawing/2014/main" id="{00000000-0008-0000-0200-000031000000}"/>
                          </a:ext>
                        </a:extLst>
                      </xdr:cNvPr>
                      <xdr:cNvCxnSpPr/>
                    </xdr:nvCxnSpPr>
                    <xdr:spPr>
                      <a:xfrm flipH="1">
                        <a:off x="8183197" y="3064144"/>
                        <a:ext cx="183859" cy="3229"/>
                      </a:xfrm>
                      <a:prstGeom prst="line">
                        <a:avLst/>
                      </a:prstGeom>
                      <a:ln>
                        <a:solidFill>
                          <a:srgbClr val="FF0000"/>
                        </a:solidFill>
                      </a:ln>
                    </xdr:spPr>
                    <xdr:style>
                      <a:lnRef idx="3">
                        <a:schemeClr val="accent2"/>
                      </a:lnRef>
                      <a:fillRef idx="0">
                        <a:schemeClr val="accent2"/>
                      </a:fillRef>
                      <a:effectRef idx="2">
                        <a:schemeClr val="accent2"/>
                      </a:effectRef>
                      <a:fontRef idx="minor">
                        <a:schemeClr val="tx1"/>
                      </a:fontRef>
                    </xdr:style>
                  </xdr:cxnSp>
                  <xdr:grpSp>
                    <xdr:nvGrpSpPr>
                      <xdr:cNvPr id="88" name="Group 87">
                        <a:extLst>
                          <a:ext uri="{FF2B5EF4-FFF2-40B4-BE49-F238E27FC236}">
                            <a16:creationId xmlns:a16="http://schemas.microsoft.com/office/drawing/2014/main" id="{00000000-0008-0000-0200-000058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127560" y="655134"/>
                        <a:ext cx="6134293" cy="2412239"/>
                        <a:chOff x="7127560" y="655134"/>
                        <a:chExt cx="6134293" cy="2412239"/>
                      </a:xfrm>
                    </xdr:grpSpPr>
                    <xdr:grpSp>
                      <xdr:nvGrpSpPr>
                        <xdr:cNvPr id="87" name="Group 86">
                          <a:extLst>
                            <a:ext uri="{FF2B5EF4-FFF2-40B4-BE49-F238E27FC236}">
                              <a16:creationId xmlns:a16="http://schemas.microsoft.com/office/drawing/2014/main" id="{00000000-0008-0000-0200-000057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7134018" y="2290689"/>
                          <a:ext cx="1746870" cy="773455"/>
                          <a:chOff x="7134018" y="2290689"/>
                          <a:chExt cx="1746870" cy="773455"/>
                        </a:xfrm>
                      </xdr:grpSpPr>
                      <xdr:grpSp>
                        <xdr:nvGrpSpPr>
                          <xdr:cNvPr id="86" name="Group 85">
                            <a:extLst>
                              <a:ext uri="{FF2B5EF4-FFF2-40B4-BE49-F238E27FC236}">
                                <a16:creationId xmlns:a16="http://schemas.microsoft.com/office/drawing/2014/main" id="{00000000-0008-0000-0200-00005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7134018" y="2629830"/>
                            <a:ext cx="1746734" cy="434314"/>
                            <a:chOff x="7134018" y="2629830"/>
                            <a:chExt cx="1746734" cy="434314"/>
                          </a:xfrm>
                        </xdr:grpSpPr>
                        <xdr:cxnSp macro="">
                          <xdr:nvCxnSpPr>
                            <xdr:cNvPr id="9" name="Straight Connector 8">
                              <a:extLst>
                                <a:ext uri="{FF2B5EF4-FFF2-40B4-BE49-F238E27FC236}">
                                  <a16:creationId xmlns:a16="http://schemas.microsoft.com/office/drawing/2014/main" id="{00000000-0008-0000-0200-000009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7134019" y="2640515"/>
                              <a:ext cx="1079" cy="423629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rgbClr val="FF0000"/>
                              </a:solidFill>
                            </a:ln>
                          </xdr:spPr>
                          <xdr:style>
                            <a:lnRef idx="3">
                              <a:schemeClr val="accent2"/>
                            </a:lnRef>
                            <a:fillRef idx="0">
                              <a:schemeClr val="accent2"/>
                            </a:fillRef>
                            <a:effectRef idx="2">
                              <a:schemeClr val="accent2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11" name="Straight Connector 10">
                              <a:extLst>
                                <a:ext uri="{FF2B5EF4-FFF2-40B4-BE49-F238E27FC236}">
                                  <a16:creationId xmlns:a16="http://schemas.microsoft.com/office/drawing/2014/main" id="{00000000-0008-0000-0200-00000B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7134018" y="2629830"/>
                              <a:ext cx="1746734" cy="811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rgbClr val="FF0000"/>
                              </a:solidFill>
                            </a:ln>
                          </xdr:spPr>
                          <xdr:style>
                            <a:lnRef idx="3">
                              <a:schemeClr val="accent2"/>
                            </a:lnRef>
                            <a:fillRef idx="0">
                              <a:schemeClr val="accent2"/>
                            </a:fillRef>
                            <a:effectRef idx="2">
                              <a:schemeClr val="accent2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5" name="Straight Connector 14">
                            <a:extLst>
                              <a:ext uri="{FF2B5EF4-FFF2-40B4-BE49-F238E27FC236}">
                                <a16:creationId xmlns:a16="http://schemas.microsoft.com/office/drawing/2014/main" id="{00000000-0008-0000-0200-00000F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 flipV="1">
                            <a:off x="8880437" y="2290689"/>
                            <a:ext cx="451" cy="340795"/>
                          </a:xfrm>
                          <a:prstGeom prst="line">
                            <a:avLst/>
                          </a:prstGeom>
                          <a:ln>
                            <a:solidFill>
                              <a:srgbClr val="FF0000"/>
                            </a:solidFill>
                          </a:ln>
                        </xdr:spPr>
                        <xdr:style>
                          <a:lnRef idx="3">
                            <a:schemeClr val="accent2"/>
                          </a:lnRef>
                          <a:fillRef idx="0">
                            <a:schemeClr val="accent2"/>
                          </a:fillRef>
                          <a:effectRef idx="2">
                            <a:schemeClr val="accent2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  <xdr:cxnSp macro="">
                      <xdr:nvCxnSpPr>
                        <xdr:cNvPr id="17" name="Straight Connector 16">
                          <a:extLst>
                            <a:ext uri="{FF2B5EF4-FFF2-40B4-BE49-F238E27FC236}">
                              <a16:creationId xmlns:a16="http://schemas.microsoft.com/office/drawing/2014/main" id="{00000000-0008-0000-0200-00001100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8885398" y="850280"/>
                          <a:ext cx="2629563" cy="1454305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9" name="Straight Connector 18">
                          <a:extLst>
                            <a:ext uri="{FF2B5EF4-FFF2-40B4-BE49-F238E27FC236}">
                              <a16:creationId xmlns:a16="http://schemas.microsoft.com/office/drawing/2014/main" id="{00000000-0008-0000-0200-00001300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11514799" y="656562"/>
                          <a:ext cx="162" cy="193719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21" name="Straight Connector 20">
                          <a:extLst>
                            <a:ext uri="{FF2B5EF4-FFF2-40B4-BE49-F238E27FC236}">
                              <a16:creationId xmlns:a16="http://schemas.microsoft.com/office/drawing/2014/main" id="{00000000-0008-0000-0200-00001500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1507952" y="655134"/>
                          <a:ext cx="1753901" cy="6773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23" name="Straight Connector 22">
                          <a:extLst>
                            <a:ext uri="{FF2B5EF4-FFF2-40B4-BE49-F238E27FC236}">
                              <a16:creationId xmlns:a16="http://schemas.microsoft.com/office/drawing/2014/main" id="{00000000-0008-0000-0200-00001700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13254372" y="665136"/>
                          <a:ext cx="0" cy="435889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25" name="Straight Connector 24">
                          <a:extLst>
                            <a:ext uri="{FF2B5EF4-FFF2-40B4-BE49-F238E27FC236}">
                              <a16:creationId xmlns:a16="http://schemas.microsoft.com/office/drawing/2014/main" id="{00000000-0008-0000-0200-00001900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13076789" y="1091339"/>
                          <a:ext cx="173651" cy="1310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27" name="Straight Connector 26">
                          <a:extLst>
                            <a:ext uri="{FF2B5EF4-FFF2-40B4-BE49-F238E27FC236}">
                              <a16:creationId xmlns:a16="http://schemas.microsoft.com/office/drawing/2014/main" id="{00000000-0008-0000-0200-00001B00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080645" y="827049"/>
                          <a:ext cx="0" cy="269488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29" name="Straight Connector 28">
                          <a:extLst>
                            <a:ext uri="{FF2B5EF4-FFF2-40B4-BE49-F238E27FC236}">
                              <a16:creationId xmlns:a16="http://schemas.microsoft.com/office/drawing/2014/main" id="{00000000-0008-0000-0200-00001D00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12201963" y="823347"/>
                          <a:ext cx="878683" cy="3703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31" name="Straight Connector 30">
                          <a:extLst>
                            <a:ext uri="{FF2B5EF4-FFF2-40B4-BE49-F238E27FC236}">
                              <a16:creationId xmlns:a16="http://schemas.microsoft.com/office/drawing/2014/main" id="{00000000-0008-0000-0200-00001F00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12208421" y="823347"/>
                          <a:ext cx="3229" cy="267992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33" name="Straight Connector 32">
                          <a:extLst>
                            <a:ext uri="{FF2B5EF4-FFF2-40B4-BE49-F238E27FC236}">
                              <a16:creationId xmlns:a16="http://schemas.microsoft.com/office/drawing/2014/main" id="{00000000-0008-0000-0200-00002100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2043051" y="1097797"/>
                          <a:ext cx="178285" cy="328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35" name="Straight Connector 34">
                          <a:extLst>
                            <a:ext uri="{FF2B5EF4-FFF2-40B4-BE49-F238E27FC236}">
                              <a16:creationId xmlns:a16="http://schemas.microsoft.com/office/drawing/2014/main" id="{00000000-0008-0000-0200-00002300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2037609" y="822402"/>
                          <a:ext cx="0" cy="283427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37" name="Straight Connector 36">
                          <a:extLst>
                            <a:ext uri="{FF2B5EF4-FFF2-40B4-BE49-F238E27FC236}">
                              <a16:creationId xmlns:a16="http://schemas.microsoft.com/office/drawing/2014/main" id="{00000000-0008-0000-0200-00002500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1877375" y="822402"/>
                          <a:ext cx="160234" cy="0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39" name="Straight Connector 38">
                          <a:extLst>
                            <a:ext uri="{FF2B5EF4-FFF2-40B4-BE49-F238E27FC236}">
                              <a16:creationId xmlns:a16="http://schemas.microsoft.com/office/drawing/2014/main" id="{00000000-0008-0000-0200-00002700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9009281" y="820888"/>
                          <a:ext cx="2871666" cy="1606901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41" name="Straight Connector 40">
                          <a:extLst>
                            <a:ext uri="{FF2B5EF4-FFF2-40B4-BE49-F238E27FC236}">
                              <a16:creationId xmlns:a16="http://schemas.microsoft.com/office/drawing/2014/main" id="{00000000-0008-0000-0200-00002900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9008459" y="2416098"/>
                          <a:ext cx="4646" cy="376353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43" name="Straight Connector 42">
                          <a:extLst>
                            <a:ext uri="{FF2B5EF4-FFF2-40B4-BE49-F238E27FC236}">
                              <a16:creationId xmlns:a16="http://schemas.microsoft.com/office/drawing/2014/main" id="{00000000-0008-0000-0200-00002B00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8360362" y="2792451"/>
                          <a:ext cx="657390" cy="9293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45" name="Straight Connector 44">
                          <a:extLst>
                            <a:ext uri="{FF2B5EF4-FFF2-40B4-BE49-F238E27FC236}">
                              <a16:creationId xmlns:a16="http://schemas.microsoft.com/office/drawing/2014/main" id="{00000000-0008-0000-0200-00002D00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8365008" y="2806390"/>
                          <a:ext cx="0" cy="260195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51" name="Straight Connector 50">
                          <a:extLst>
                            <a:ext uri="{FF2B5EF4-FFF2-40B4-BE49-F238E27FC236}">
                              <a16:creationId xmlns:a16="http://schemas.microsoft.com/office/drawing/2014/main" id="{00000000-0008-0000-0200-00003300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8181545" y="2797098"/>
                          <a:ext cx="4073" cy="269919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53" name="Straight Connector 52">
                          <a:extLst>
                            <a:ext uri="{FF2B5EF4-FFF2-40B4-BE49-F238E27FC236}">
                              <a16:creationId xmlns:a16="http://schemas.microsoft.com/office/drawing/2014/main" id="{00000000-0008-0000-0200-00003500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7301128" y="2797098"/>
                          <a:ext cx="880416" cy="9292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55" name="Straight Connector 54">
                          <a:extLst>
                            <a:ext uri="{FF2B5EF4-FFF2-40B4-BE49-F238E27FC236}">
                              <a16:creationId xmlns:a16="http://schemas.microsoft.com/office/drawing/2014/main" id="{00000000-0008-0000-0200-00003700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7301916" y="2789695"/>
                          <a:ext cx="3229" cy="277678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57" name="Straight Connector 56">
                          <a:extLst>
                            <a:ext uri="{FF2B5EF4-FFF2-40B4-BE49-F238E27FC236}">
                              <a16:creationId xmlns:a16="http://schemas.microsoft.com/office/drawing/2014/main" id="{00000000-0008-0000-0200-00003900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7127560" y="3060916"/>
                          <a:ext cx="175012" cy="1310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</xdr:grpSp>
                </xdr:grpSp>
                <xdr:cxnSp macro="">
                  <xdr:nvCxnSpPr>
                    <xdr:cNvPr id="105" name="Straight Arrow Connector 104">
                      <a:extLst>
                        <a:ext uri="{FF2B5EF4-FFF2-40B4-BE49-F238E27FC236}">
                          <a16:creationId xmlns:a16="http://schemas.microsoft.com/office/drawing/2014/main" id="{00000000-0008-0000-0200-000069000000}"/>
                        </a:ext>
                      </a:extLst>
                    </xdr:cNvPr>
                    <xdr:cNvCxnSpPr/>
                  </xdr:nvCxnSpPr>
                  <xdr:spPr>
                    <a:xfrm>
                      <a:off x="7597147" y="3647804"/>
                      <a:ext cx="2654554" cy="271"/>
                    </a:xfrm>
                    <a:prstGeom prst="straightConnector1">
                      <a:avLst/>
                    </a:prstGeom>
                    <a:ln>
                      <a:headEnd type="triangle"/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18" name="Straight Arrow Connector 17">
                      <a:extLst>
                        <a:ext uri="{FF2B5EF4-FFF2-40B4-BE49-F238E27FC236}">
                          <a16:creationId xmlns:a16="http://schemas.microsoft.com/office/drawing/2014/main" id="{00000000-0008-0000-0200-00001200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3641912" y="3641913"/>
                      <a:ext cx="4013378" cy="5891"/>
                    </a:xfrm>
                    <a:prstGeom prst="straightConnector1">
                      <a:avLst/>
                    </a:prstGeom>
                    <a:ln>
                      <a:headEnd type="triangle"/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" name="Straight Arrow Connector 21">
                      <a:extLst>
                        <a:ext uri="{FF2B5EF4-FFF2-40B4-BE49-F238E27FC236}">
                          <a16:creationId xmlns:a16="http://schemas.microsoft.com/office/drawing/2014/main" id="{00000000-0008-0000-0200-00001600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974913" y="3641912"/>
                      <a:ext cx="2678205" cy="0"/>
                    </a:xfrm>
                    <a:prstGeom prst="straightConnector1">
                      <a:avLst/>
                    </a:prstGeom>
                    <a:ln>
                      <a:headEnd type="triangle"/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30" name="Straight Connector 29">
                    <a:extLst>
                      <a:ext uri="{FF2B5EF4-FFF2-40B4-BE49-F238E27FC236}">
                        <a16:creationId xmlns:a16="http://schemas.microsoft.com/office/drawing/2014/main" id="{00000000-0008-0000-0200-00001E000000}"/>
                      </a:ext>
                    </a:extLst>
                  </xdr:cNvPr>
                  <xdr:cNvCxnSpPr/>
                </xdr:nvCxnSpPr>
                <xdr:spPr>
                  <a:xfrm flipV="1">
                    <a:off x="3641912" y="3675529"/>
                    <a:ext cx="0" cy="1792943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6" name="Straight Connector 45">
                    <a:extLst>
                      <a:ext uri="{FF2B5EF4-FFF2-40B4-BE49-F238E27FC236}">
                        <a16:creationId xmlns:a16="http://schemas.microsoft.com/office/drawing/2014/main" id="{00000000-0008-0000-0200-00002E000000}"/>
                      </a:ext>
                    </a:extLst>
                  </xdr:cNvPr>
                  <xdr:cNvCxnSpPr/>
                </xdr:nvCxnSpPr>
                <xdr:spPr>
                  <a:xfrm flipV="1">
                    <a:off x="851647" y="3843619"/>
                    <a:ext cx="6757147" cy="22411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</xdr:grpSp>
      </xdr:grpSp>
    </xdr:grpSp>
    <xdr:clientData/>
  </xdr:twoCellAnchor>
  <xdr:twoCellAnchor>
    <xdr:from>
      <xdr:col>43</xdr:col>
      <xdr:colOff>19049</xdr:colOff>
      <xdr:row>15</xdr:row>
      <xdr:rowOff>104774</xdr:rowOff>
    </xdr:from>
    <xdr:to>
      <xdr:col>64</xdr:col>
      <xdr:colOff>0</xdr:colOff>
      <xdr:row>16</xdr:row>
      <xdr:rowOff>142875</xdr:rowOff>
    </xdr:to>
    <xdr:sp macro="" textlink="$AD$34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114799" y="2971799"/>
          <a:ext cx="1981201" cy="228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9F978C8-1BC3-4DB3-BB94-D645121F3ED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MẶT CẮT 1-1</a:t>
          </a:fld>
          <a:endParaRPr lang="en-US" sz="1100" b="1" i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98</xdr:row>
      <xdr:rowOff>180975</xdr:rowOff>
    </xdr:from>
    <xdr:to>
      <xdr:col>75</xdr:col>
      <xdr:colOff>37602</xdr:colOff>
      <xdr:row>113</xdr:row>
      <xdr:rowOff>129540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8859500"/>
          <a:ext cx="7219452" cy="2809875"/>
        </a:xfrm>
        <a:prstGeom prst="rect">
          <a:avLst/>
        </a:prstGeom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0.2888</cdr:x>
      <cdr:y>0.90282</cdr:y>
    </cdr:from>
    <cdr:to>
      <cdr:x>0.56393</cdr:x>
      <cdr:y>0.98418</cdr:y>
    </cdr:to>
    <cdr:sp macro="" textlink="'Cau Thang Tools'!$AD$33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0E09FEF-7C19-49FA-A55A-0FEC55C2254D}"/>
            </a:ext>
          </a:extLst>
        </cdr:cNvPr>
        <cdr:cNvSpPr txBox="1"/>
      </cdr:nvSpPr>
      <cdr:spPr>
        <a:xfrm xmlns:a="http://schemas.openxmlformats.org/drawingml/2006/main">
          <a:off x="2079625" y="2536825"/>
          <a:ext cx="1981201" cy="2286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B1F2D52-EF0B-4E72-89F3-59B64F52CEC2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THANG T1-T2</a:t>
          </a:fld>
          <a:endParaRPr lang="en-US" sz="1100" b="1" i="0">
            <a:solidFill>
              <a:sysClr val="windowText" lastClr="000000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97</xdr:row>
          <xdr:rowOff>0</xdr:rowOff>
        </xdr:from>
        <xdr:to>
          <xdr:col>8</xdr:col>
          <xdr:colOff>352425</xdr:colOff>
          <xdr:row>99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printerSettings" Target="../printerSettings/printerSettings3.bin"/><Relationship Id="rId7" Type="http://schemas.openxmlformats.org/officeDocument/2006/relationships/image" Target="../media/image4.emf"/><Relationship Id="rId2" Type="http://schemas.openxmlformats.org/officeDocument/2006/relationships/hyperlink" Target="http://vi.ketcau.wikia.com/index.php?title=Ho%E1%BA%A1t_t%E1%BA%A3i_ti%C3%AAu_chu%E1%BA%A9n_t%C3%A1c_d%E1%BB%A5ng_l%C3%AAn_s%C3%A0n_v%C3%A0_c%E1%BA%A7u_thang&amp;action=edit" TargetMode="External"/><Relationship Id="rId1" Type="http://schemas.openxmlformats.org/officeDocument/2006/relationships/hyperlink" Target="http://vi.ketcau.wikia.com/index.php?title=Ho%E1%BA%A1t_t%E1%BA%A3i_ti%C3%AAu_chu%E1%BA%A9n_t%C3%A1c_d%E1%BB%A5ng_l%C3%AAn_s%C3%A0n_v%C3%A0_c%E1%BA%A7u_thang&amp;action=edit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5BE5B-99B4-46BE-9EC5-25733CFED815}">
  <sheetPr codeName="Sheet1">
    <tabColor rgb="FF002060"/>
  </sheetPr>
  <dimension ref="A1:BF91"/>
  <sheetViews>
    <sheetView topLeftCell="A6" zoomScale="85" zoomScaleNormal="85" zoomScaleSheetLayoutView="100" workbookViewId="0">
      <selection activeCell="M24" sqref="M24"/>
    </sheetView>
  </sheetViews>
  <sheetFormatPr defaultColWidth="9.140625" defaultRowHeight="12.75" x14ac:dyDescent="0.25"/>
  <cols>
    <col min="1" max="5" width="9.140625" style="122" customWidth="1"/>
    <col min="6" max="6" width="5.42578125" style="122" customWidth="1"/>
    <col min="7" max="7" width="8.85546875" style="122" customWidth="1"/>
    <col min="8" max="11" width="7.5703125" style="122" customWidth="1"/>
    <col min="12" max="13" width="7" style="122" customWidth="1"/>
    <col min="14" max="16" width="7.42578125" style="122" customWidth="1"/>
    <col min="17" max="18" width="6.85546875" style="122" customWidth="1"/>
    <col min="19" max="19" width="9.140625" style="122"/>
    <col min="20" max="20" width="9.140625" style="123"/>
    <col min="21" max="58" width="9.140625" style="122"/>
    <col min="59" max="16384" width="9.140625" style="121"/>
  </cols>
  <sheetData>
    <row r="1" spans="1:18" ht="13.5" hidden="1" thickBot="1" x14ac:dyDescent="0.3">
      <c r="A1" s="165"/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7"/>
    </row>
    <row r="2" spans="1:18" ht="13.5" hidden="1" thickBot="1" x14ac:dyDescent="0.3">
      <c r="A2" s="168"/>
      <c r="R2" s="169"/>
    </row>
    <row r="3" spans="1:18" ht="13.5" hidden="1" thickBot="1" x14ac:dyDescent="0.3">
      <c r="A3" s="168"/>
      <c r="R3" s="169"/>
    </row>
    <row r="4" spans="1:18" ht="13.5" hidden="1" thickBot="1" x14ac:dyDescent="0.3">
      <c r="A4" s="168"/>
      <c r="R4" s="169"/>
    </row>
    <row r="5" spans="1:18" ht="13.5" hidden="1" thickBot="1" x14ac:dyDescent="0.3">
      <c r="A5" s="168"/>
      <c r="R5" s="169"/>
    </row>
    <row r="6" spans="1:18" x14ac:dyDescent="0.25">
      <c r="A6" s="168"/>
      <c r="F6" s="207" t="s">
        <v>304</v>
      </c>
      <c r="G6" s="208"/>
      <c r="H6" s="208"/>
      <c r="I6" s="208"/>
      <c r="J6" s="208"/>
      <c r="K6" s="208"/>
      <c r="L6" s="208"/>
      <c r="M6" s="208"/>
      <c r="N6" s="208"/>
      <c r="O6" s="208"/>
      <c r="P6" s="208"/>
      <c r="Q6" s="208"/>
      <c r="R6" s="209"/>
    </row>
    <row r="7" spans="1:18" ht="13.5" thickBot="1" x14ac:dyDescent="0.3">
      <c r="A7" s="168"/>
      <c r="F7" s="210"/>
      <c r="G7" s="211"/>
      <c r="H7" s="211"/>
      <c r="I7" s="211"/>
      <c r="J7" s="211"/>
      <c r="K7" s="211"/>
      <c r="L7" s="211"/>
      <c r="M7" s="211"/>
      <c r="N7" s="211"/>
      <c r="O7" s="211"/>
      <c r="P7" s="211"/>
      <c r="Q7" s="211"/>
      <c r="R7" s="212"/>
    </row>
    <row r="8" spans="1:18" x14ac:dyDescent="0.25">
      <c r="A8" s="16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9"/>
    </row>
    <row r="9" spans="1:18" x14ac:dyDescent="0.25">
      <c r="A9" s="16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9"/>
    </row>
    <row r="10" spans="1:18" x14ac:dyDescent="0.25">
      <c r="A10" s="16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9"/>
    </row>
    <row r="11" spans="1:18" x14ac:dyDescent="0.25">
      <c r="A11" s="16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9"/>
    </row>
    <row r="12" spans="1:18" x14ac:dyDescent="0.25">
      <c r="A12" s="16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9"/>
    </row>
    <row r="13" spans="1:18" x14ac:dyDescent="0.25">
      <c r="A13" s="16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/>
      <c r="R13" s="139"/>
    </row>
    <row r="14" spans="1:18" x14ac:dyDescent="0.25">
      <c r="A14" s="16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  <c r="R14" s="139"/>
    </row>
    <row r="15" spans="1:18" x14ac:dyDescent="0.25">
      <c r="A15" s="16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  <c r="R15" s="139"/>
    </row>
    <row r="16" spans="1:18" x14ac:dyDescent="0.25">
      <c r="A16" s="168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9"/>
    </row>
    <row r="17" spans="1:20" x14ac:dyDescent="0.25">
      <c r="A17" s="168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9"/>
    </row>
    <row r="18" spans="1:20" x14ac:dyDescent="0.25">
      <c r="A18" s="16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9"/>
    </row>
    <row r="19" spans="1:20" x14ac:dyDescent="0.25">
      <c r="A19" s="16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9"/>
    </row>
    <row r="20" spans="1:20" x14ac:dyDescent="0.25">
      <c r="A20" s="16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38"/>
      <c r="Q20" s="138"/>
      <c r="R20" s="139"/>
    </row>
    <row r="21" spans="1:20" x14ac:dyDescent="0.25">
      <c r="A21" s="168"/>
      <c r="F21" s="140" t="s">
        <v>17</v>
      </c>
      <c r="G21" s="141" t="s">
        <v>305</v>
      </c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9"/>
    </row>
    <row r="22" spans="1:20" x14ac:dyDescent="0.25">
      <c r="A22" s="168"/>
      <c r="F22" s="140">
        <v>1</v>
      </c>
      <c r="G22" s="141" t="s">
        <v>306</v>
      </c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9"/>
    </row>
    <row r="23" spans="1:20" ht="14.25" x14ac:dyDescent="0.25">
      <c r="A23" s="168"/>
      <c r="F23" s="138"/>
      <c r="G23" s="142" t="s">
        <v>307</v>
      </c>
      <c r="H23" s="138"/>
      <c r="I23" s="138"/>
      <c r="J23" s="138"/>
      <c r="K23" s="138"/>
      <c r="L23" s="138"/>
      <c r="M23" s="138"/>
      <c r="N23" s="138"/>
      <c r="O23" s="138"/>
      <c r="P23" s="143" t="s">
        <v>308</v>
      </c>
      <c r="Q23" s="144">
        <v>176.5</v>
      </c>
      <c r="R23" s="145" t="s">
        <v>1</v>
      </c>
    </row>
    <row r="24" spans="1:20" ht="14.25" x14ac:dyDescent="0.25">
      <c r="A24" s="168"/>
      <c r="F24" s="138"/>
      <c r="G24" s="142" t="s">
        <v>309</v>
      </c>
      <c r="H24" s="138"/>
      <c r="I24" s="138"/>
      <c r="J24" s="138"/>
      <c r="K24" s="138"/>
      <c r="L24" s="138"/>
      <c r="M24" s="138"/>
      <c r="N24" s="138"/>
      <c r="O24" s="138"/>
      <c r="P24" s="143" t="s">
        <v>310</v>
      </c>
      <c r="Q24" s="144">
        <v>275</v>
      </c>
      <c r="R24" s="145" t="s">
        <v>1</v>
      </c>
    </row>
    <row r="25" spans="1:20" x14ac:dyDescent="0.25">
      <c r="A25" s="168"/>
      <c r="F25" s="138"/>
      <c r="G25" s="142" t="s">
        <v>311</v>
      </c>
      <c r="H25" s="138"/>
      <c r="I25" s="138"/>
      <c r="J25" s="138"/>
      <c r="K25" s="138"/>
      <c r="L25" s="138"/>
      <c r="M25" s="138"/>
      <c r="N25" s="138"/>
      <c r="O25" s="138"/>
      <c r="P25" s="143" t="s">
        <v>312</v>
      </c>
      <c r="Q25" s="146">
        <f>Q24/SQRT((Q24^2+Q23^2))</f>
        <v>0.84157597329185163</v>
      </c>
      <c r="R25" s="145"/>
    </row>
    <row r="26" spans="1:20" x14ac:dyDescent="0.25">
      <c r="A26" s="168"/>
      <c r="F26" s="138"/>
      <c r="G26" s="142" t="s">
        <v>313</v>
      </c>
      <c r="H26" s="138"/>
      <c r="I26" s="138"/>
      <c r="J26" s="138"/>
      <c r="K26" s="138"/>
      <c r="L26" s="138"/>
      <c r="M26" s="138"/>
      <c r="N26" s="138"/>
      <c r="O26" s="138"/>
      <c r="P26" s="143" t="s">
        <v>314</v>
      </c>
      <c r="Q26" s="144">
        <v>150</v>
      </c>
      <c r="R26" s="145" t="s">
        <v>1</v>
      </c>
      <c r="S26" s="122">
        <f>Q26/1000</f>
        <v>0.15</v>
      </c>
      <c r="T26" s="123" t="s">
        <v>315</v>
      </c>
    </row>
    <row r="27" spans="1:20" x14ac:dyDescent="0.25">
      <c r="A27" s="168"/>
      <c r="F27" s="138"/>
      <c r="G27" s="142" t="s">
        <v>316</v>
      </c>
      <c r="H27" s="138"/>
      <c r="I27" s="138"/>
      <c r="J27" s="138"/>
      <c r="K27" s="138"/>
      <c r="L27" s="138"/>
      <c r="M27" s="138"/>
      <c r="N27" s="138"/>
      <c r="O27" s="138"/>
      <c r="P27" s="143" t="s">
        <v>317</v>
      </c>
      <c r="Q27" s="144">
        <v>20</v>
      </c>
      <c r="R27" s="145" t="s">
        <v>1</v>
      </c>
    </row>
    <row r="28" spans="1:20" ht="14.25" x14ac:dyDescent="0.25">
      <c r="A28" s="168"/>
      <c r="F28" s="138"/>
      <c r="G28" s="142" t="s">
        <v>318</v>
      </c>
      <c r="H28" s="138"/>
      <c r="I28" s="138"/>
      <c r="J28" s="138"/>
      <c r="K28" s="138"/>
      <c r="L28" s="138"/>
      <c r="M28" s="138"/>
      <c r="N28" s="138"/>
      <c r="O28" s="138"/>
      <c r="P28" s="143" t="s">
        <v>319</v>
      </c>
      <c r="Q28" s="144">
        <v>200</v>
      </c>
      <c r="R28" s="145" t="s">
        <v>1</v>
      </c>
    </row>
    <row r="29" spans="1:20" ht="14.25" x14ac:dyDescent="0.25">
      <c r="A29" s="168"/>
      <c r="F29" s="138"/>
      <c r="G29" s="142" t="s">
        <v>320</v>
      </c>
      <c r="H29" s="138"/>
      <c r="I29" s="138"/>
      <c r="J29" s="138"/>
      <c r="K29" s="138"/>
      <c r="L29" s="138"/>
      <c r="M29" s="138"/>
      <c r="N29" s="138"/>
      <c r="O29" s="138"/>
      <c r="P29" s="143" t="s">
        <v>321</v>
      </c>
      <c r="Q29" s="144">
        <v>300</v>
      </c>
      <c r="R29" s="145" t="s">
        <v>1</v>
      </c>
    </row>
    <row r="30" spans="1:20" x14ac:dyDescent="0.25">
      <c r="A30" s="168"/>
      <c r="F30" s="138"/>
      <c r="G30" s="142" t="s">
        <v>322</v>
      </c>
      <c r="H30" s="138"/>
      <c r="I30" s="138"/>
      <c r="J30" s="138"/>
      <c r="K30" s="138"/>
      <c r="L30" s="138"/>
      <c r="M30" s="138"/>
      <c r="N30" s="138"/>
      <c r="O30" s="138"/>
      <c r="P30" s="143" t="s">
        <v>323</v>
      </c>
      <c r="Q30" s="144">
        <v>1600</v>
      </c>
      <c r="R30" s="145" t="s">
        <v>1</v>
      </c>
      <c r="S30" s="122">
        <f>Q30/1000</f>
        <v>1.6</v>
      </c>
      <c r="T30" s="123" t="s">
        <v>315</v>
      </c>
    </row>
    <row r="31" spans="1:20" x14ac:dyDescent="0.25">
      <c r="A31" s="168"/>
      <c r="F31" s="138"/>
      <c r="G31" s="142" t="s">
        <v>324</v>
      </c>
      <c r="H31" s="138"/>
      <c r="I31" s="138"/>
      <c r="J31" s="138"/>
      <c r="K31" s="138"/>
      <c r="L31" s="138"/>
      <c r="M31" s="138"/>
      <c r="N31" s="138"/>
      <c r="O31" s="138"/>
      <c r="P31" s="143" t="s">
        <v>325</v>
      </c>
      <c r="Q31" s="144">
        <v>2200</v>
      </c>
      <c r="R31" s="145" t="s">
        <v>1</v>
      </c>
      <c r="S31" s="122">
        <f>Q31/1000</f>
        <v>2.2000000000000002</v>
      </c>
      <c r="T31" s="123" t="s">
        <v>315</v>
      </c>
    </row>
    <row r="32" spans="1:20" x14ac:dyDescent="0.25">
      <c r="A32" s="168"/>
      <c r="F32" s="138"/>
      <c r="G32" s="142" t="s">
        <v>326</v>
      </c>
      <c r="H32" s="138"/>
      <c r="I32" s="138"/>
      <c r="J32" s="138"/>
      <c r="K32" s="138"/>
      <c r="L32" s="138"/>
      <c r="M32" s="138"/>
      <c r="N32" s="138"/>
      <c r="O32" s="138"/>
      <c r="P32" s="143" t="s">
        <v>327</v>
      </c>
      <c r="Q32" s="144">
        <v>1400</v>
      </c>
      <c r="R32" s="145" t="s">
        <v>1</v>
      </c>
      <c r="S32" s="122">
        <f>Q32/1000</f>
        <v>1.4</v>
      </c>
      <c r="T32" s="123" t="s">
        <v>315</v>
      </c>
    </row>
    <row r="33" spans="1:20" x14ac:dyDescent="0.25">
      <c r="A33" s="168"/>
      <c r="F33" s="138"/>
      <c r="G33" s="142" t="s">
        <v>328</v>
      </c>
      <c r="H33" s="138"/>
      <c r="I33" s="138"/>
      <c r="J33" s="138"/>
      <c r="K33" s="138"/>
      <c r="L33" s="138"/>
      <c r="M33" s="138"/>
      <c r="N33" s="138"/>
      <c r="O33" s="138"/>
      <c r="P33" s="143" t="s">
        <v>329</v>
      </c>
      <c r="Q33" s="144">
        <v>1200</v>
      </c>
      <c r="R33" s="145" t="s">
        <v>1</v>
      </c>
      <c r="S33" s="122">
        <f>Q33/1000</f>
        <v>1.2</v>
      </c>
      <c r="T33" s="123" t="s">
        <v>315</v>
      </c>
    </row>
    <row r="34" spans="1:20" x14ac:dyDescent="0.25">
      <c r="A34" s="168"/>
      <c r="F34" s="138"/>
      <c r="G34" s="142" t="s">
        <v>330</v>
      </c>
      <c r="H34" s="138"/>
      <c r="I34" s="138"/>
      <c r="J34" s="138"/>
      <c r="K34" s="138"/>
      <c r="L34" s="138"/>
      <c r="M34" s="138"/>
      <c r="N34" s="138"/>
      <c r="O34" s="138"/>
      <c r="P34" s="143" t="s">
        <v>331</v>
      </c>
      <c r="Q34" s="144">
        <v>200</v>
      </c>
      <c r="R34" s="145" t="s">
        <v>1</v>
      </c>
      <c r="S34" s="122">
        <f>Q34/1000</f>
        <v>0.2</v>
      </c>
      <c r="T34" s="123" t="s">
        <v>315</v>
      </c>
    </row>
    <row r="35" spans="1:20" x14ac:dyDescent="0.25">
      <c r="A35" s="168"/>
      <c r="F35" s="138"/>
      <c r="G35" s="142"/>
      <c r="H35" s="138"/>
      <c r="I35" s="138"/>
      <c r="J35" s="138"/>
      <c r="K35" s="138"/>
      <c r="L35" s="138"/>
      <c r="M35" s="138"/>
      <c r="N35" s="138"/>
      <c r="O35" s="138"/>
      <c r="P35" s="143"/>
      <c r="Q35" s="147"/>
      <c r="R35" s="145"/>
    </row>
    <row r="36" spans="1:20" x14ac:dyDescent="0.25">
      <c r="A36" s="168"/>
      <c r="F36" s="140">
        <v>2</v>
      </c>
      <c r="G36" s="141" t="s">
        <v>332</v>
      </c>
      <c r="H36" s="138"/>
      <c r="I36" s="138"/>
      <c r="J36" s="138"/>
      <c r="K36" s="138"/>
      <c r="L36" s="138"/>
      <c r="M36" s="138"/>
      <c r="N36" s="138"/>
      <c r="O36" s="138"/>
      <c r="P36" s="138"/>
      <c r="Q36" s="138"/>
      <c r="R36" s="145"/>
    </row>
    <row r="37" spans="1:20" x14ac:dyDescent="0.2">
      <c r="A37" s="168"/>
      <c r="F37" s="138"/>
      <c r="G37" s="148" t="s">
        <v>333</v>
      </c>
      <c r="H37" s="148"/>
      <c r="I37" s="148"/>
      <c r="J37" s="148"/>
      <c r="K37" s="148"/>
      <c r="L37" s="148"/>
      <c r="M37" s="148"/>
      <c r="N37" s="148"/>
      <c r="O37" s="138"/>
      <c r="P37" s="149"/>
      <c r="Q37" s="150" t="s">
        <v>132</v>
      </c>
      <c r="R37" s="151"/>
    </row>
    <row r="38" spans="1:20" ht="14.25" x14ac:dyDescent="0.25">
      <c r="A38" s="168"/>
      <c r="F38" s="138"/>
      <c r="G38" s="148" t="s">
        <v>334</v>
      </c>
      <c r="H38" s="148"/>
      <c r="I38" s="148"/>
      <c r="J38" s="148"/>
      <c r="K38" s="148"/>
      <c r="L38" s="148"/>
      <c r="M38" s="148"/>
      <c r="N38" s="148"/>
      <c r="O38" s="138"/>
      <c r="P38" s="149" t="s">
        <v>335</v>
      </c>
      <c r="Q38" s="152">
        <f>VLOOKUP($Q$37,Table!$AB$6:$AI$21,4,0)</f>
        <v>8.5</v>
      </c>
      <c r="R38" s="153" t="s">
        <v>58</v>
      </c>
    </row>
    <row r="39" spans="1:20" ht="14.25" x14ac:dyDescent="0.25">
      <c r="A39" s="168"/>
      <c r="F39" s="138"/>
      <c r="G39" s="148" t="s">
        <v>336</v>
      </c>
      <c r="H39" s="148"/>
      <c r="I39" s="148"/>
      <c r="J39" s="148"/>
      <c r="K39" s="148"/>
      <c r="L39" s="148"/>
      <c r="M39" s="148"/>
      <c r="N39" s="148"/>
      <c r="O39" s="138"/>
      <c r="P39" s="149" t="s">
        <v>337</v>
      </c>
      <c r="Q39" s="152">
        <f>VLOOKUP($Q$37,Table!$AB$6:$AI$21,5,0)</f>
        <v>0.75</v>
      </c>
      <c r="R39" s="153" t="s">
        <v>58</v>
      </c>
    </row>
    <row r="40" spans="1:20" ht="14.25" x14ac:dyDescent="0.25">
      <c r="A40" s="168"/>
      <c r="F40" s="138"/>
      <c r="G40" s="148" t="s">
        <v>338</v>
      </c>
      <c r="H40" s="148"/>
      <c r="I40" s="148"/>
      <c r="J40" s="148"/>
      <c r="K40" s="148"/>
      <c r="L40" s="148"/>
      <c r="M40" s="148"/>
      <c r="N40" s="148"/>
      <c r="O40" s="138"/>
      <c r="P40" s="149" t="s">
        <v>339</v>
      </c>
      <c r="Q40" s="152">
        <f>VLOOKUP($Q$37,Table!$AB$6:$AI$21,6,0)</f>
        <v>23000</v>
      </c>
      <c r="R40" s="153" t="s">
        <v>58</v>
      </c>
    </row>
    <row r="41" spans="1:20" x14ac:dyDescent="0.2">
      <c r="A41" s="168"/>
      <c r="F41" s="138"/>
      <c r="G41" s="148" t="s">
        <v>340</v>
      </c>
      <c r="H41" s="148"/>
      <c r="I41" s="148"/>
      <c r="J41" s="148"/>
      <c r="K41" s="148"/>
      <c r="L41" s="148"/>
      <c r="M41" s="148"/>
      <c r="N41" s="148"/>
      <c r="O41" s="138"/>
      <c r="P41" s="149"/>
      <c r="Q41" s="154" t="s">
        <v>59</v>
      </c>
      <c r="R41" s="153"/>
    </row>
    <row r="42" spans="1:20" ht="14.25" x14ac:dyDescent="0.25">
      <c r="A42" s="168"/>
      <c r="F42" s="138"/>
      <c r="G42" s="148"/>
      <c r="H42" s="148"/>
      <c r="I42" s="148"/>
      <c r="J42" s="148"/>
      <c r="K42" s="148"/>
      <c r="L42" s="148"/>
      <c r="M42" s="148"/>
      <c r="N42" s="148"/>
      <c r="O42" s="138"/>
      <c r="P42" s="149" t="s">
        <v>341</v>
      </c>
      <c r="Q42" s="152">
        <f>VLOOKUP(Q41,Table!$AK$5:$AQ$16,2,0)</f>
        <v>345</v>
      </c>
      <c r="R42" s="153" t="s">
        <v>58</v>
      </c>
    </row>
    <row r="43" spans="1:20" x14ac:dyDescent="0.2">
      <c r="A43" s="168"/>
      <c r="F43" s="138"/>
      <c r="G43" s="148" t="s">
        <v>342</v>
      </c>
      <c r="H43" s="148"/>
      <c r="I43" s="148"/>
      <c r="J43" s="148"/>
      <c r="K43" s="148"/>
      <c r="L43" s="148"/>
      <c r="M43" s="148"/>
      <c r="N43" s="148"/>
      <c r="O43" s="138"/>
      <c r="P43" s="149"/>
      <c r="Q43" s="154" t="s">
        <v>202</v>
      </c>
      <c r="R43" s="153"/>
    </row>
    <row r="44" spans="1:20" ht="14.25" x14ac:dyDescent="0.25">
      <c r="A44" s="168"/>
      <c r="F44" s="138"/>
      <c r="G44" s="148"/>
      <c r="H44" s="148"/>
      <c r="I44" s="148"/>
      <c r="J44" s="148"/>
      <c r="K44" s="148"/>
      <c r="L44" s="148"/>
      <c r="M44" s="148"/>
      <c r="N44" s="148"/>
      <c r="O44" s="138"/>
      <c r="P44" s="149" t="s">
        <v>343</v>
      </c>
      <c r="Q44" s="152">
        <f>VLOOKUP(Q43,Table!$AK$5:$AQ$16,7,0)</f>
        <v>170</v>
      </c>
      <c r="R44" s="153" t="s">
        <v>58</v>
      </c>
    </row>
    <row r="45" spans="1:20" ht="14.25" x14ac:dyDescent="0.25">
      <c r="A45" s="168"/>
      <c r="F45" s="138"/>
      <c r="G45" s="148" t="s">
        <v>344</v>
      </c>
      <c r="H45" s="148"/>
      <c r="I45" s="148"/>
      <c r="J45" s="148"/>
      <c r="K45" s="148"/>
      <c r="L45" s="148"/>
      <c r="M45" s="148"/>
      <c r="N45" s="148"/>
      <c r="O45" s="138"/>
      <c r="P45" s="149" t="s">
        <v>345</v>
      </c>
      <c r="Q45" s="152">
        <f>VLOOKUP(Q43,Table!$AK$5:$AQ$16,4,0)</f>
        <v>210000</v>
      </c>
      <c r="R45" s="153" t="s">
        <v>58</v>
      </c>
    </row>
    <row r="46" spans="1:20" x14ac:dyDescent="0.2">
      <c r="A46" s="168"/>
      <c r="F46" s="138"/>
      <c r="G46" s="148"/>
      <c r="H46" s="148"/>
      <c r="I46" s="148"/>
      <c r="J46" s="148"/>
      <c r="K46" s="148"/>
      <c r="L46" s="148"/>
      <c r="M46" s="148"/>
      <c r="N46" s="148"/>
      <c r="O46" s="138"/>
      <c r="P46" s="149"/>
      <c r="Q46" s="152"/>
      <c r="R46" s="153"/>
    </row>
    <row r="47" spans="1:20" x14ac:dyDescent="0.25">
      <c r="A47" s="168"/>
      <c r="F47" s="140">
        <v>3</v>
      </c>
      <c r="G47" s="141" t="s">
        <v>346</v>
      </c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9"/>
    </row>
    <row r="48" spans="1:20" x14ac:dyDescent="0.25">
      <c r="A48" s="168"/>
      <c r="F48" s="140"/>
      <c r="G48" s="142" t="s">
        <v>347</v>
      </c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9"/>
    </row>
    <row r="49" spans="1:18" ht="12.75" customHeight="1" x14ac:dyDescent="0.25">
      <c r="A49" s="168"/>
      <c r="F49" s="138"/>
      <c r="G49" s="203" t="s">
        <v>348</v>
      </c>
      <c r="H49" s="217" t="s">
        <v>287</v>
      </c>
      <c r="I49" s="217"/>
      <c r="J49" s="218" t="s">
        <v>288</v>
      </c>
      <c r="K49" s="219"/>
      <c r="L49" s="217" t="s">
        <v>349</v>
      </c>
      <c r="M49" s="217"/>
      <c r="N49" s="217" t="s">
        <v>350</v>
      </c>
      <c r="O49" s="217"/>
      <c r="P49" s="203" t="s">
        <v>52</v>
      </c>
      <c r="Q49" s="213" t="s">
        <v>351</v>
      </c>
      <c r="R49" s="215" t="s">
        <v>352</v>
      </c>
    </row>
    <row r="50" spans="1:18" x14ac:dyDescent="0.25">
      <c r="A50" s="168"/>
      <c r="F50" s="138"/>
      <c r="G50" s="203"/>
      <c r="H50" s="217"/>
      <c r="I50" s="217"/>
      <c r="J50" s="220"/>
      <c r="K50" s="221"/>
      <c r="L50" s="217"/>
      <c r="M50" s="217"/>
      <c r="N50" s="217"/>
      <c r="O50" s="217"/>
      <c r="P50" s="203"/>
      <c r="Q50" s="214"/>
      <c r="R50" s="216"/>
    </row>
    <row r="51" spans="1:18" x14ac:dyDescent="0.25">
      <c r="A51" s="168"/>
      <c r="F51" s="138"/>
      <c r="G51" s="203"/>
      <c r="H51" s="217"/>
      <c r="I51" s="217"/>
      <c r="J51" s="222"/>
      <c r="K51" s="223"/>
      <c r="L51" s="217"/>
      <c r="M51" s="217"/>
      <c r="N51" s="217"/>
      <c r="O51" s="217"/>
      <c r="P51" s="203"/>
      <c r="Q51" s="127" t="s">
        <v>353</v>
      </c>
      <c r="R51" s="155" t="s">
        <v>353</v>
      </c>
    </row>
    <row r="52" spans="1:18" x14ac:dyDescent="0.25">
      <c r="A52" s="168"/>
      <c r="F52" s="138"/>
      <c r="G52" s="203" t="s">
        <v>354</v>
      </c>
      <c r="H52" s="206" t="s">
        <v>292</v>
      </c>
      <c r="I52" s="206"/>
      <c r="J52" s="205">
        <v>15</v>
      </c>
      <c r="K52" s="205"/>
      <c r="L52" s="204">
        <f>ROUND((Q23+Q24)*J52*Q25/(Q24*10^3),3)</f>
        <v>2.1000000000000001E-2</v>
      </c>
      <c r="M52" s="204"/>
      <c r="N52" s="205">
        <v>2000</v>
      </c>
      <c r="O52" s="205"/>
      <c r="P52" s="128">
        <v>1.1000000000000001</v>
      </c>
      <c r="Q52" s="130">
        <f>P52*N52*L52</f>
        <v>46.2</v>
      </c>
      <c r="R52" s="156">
        <f>ROUND(J52*N52*P52/10^3,2)</f>
        <v>33</v>
      </c>
    </row>
    <row r="53" spans="1:18" x14ac:dyDescent="0.25">
      <c r="A53" s="168"/>
      <c r="F53" s="138"/>
      <c r="G53" s="203"/>
      <c r="H53" s="206" t="s">
        <v>297</v>
      </c>
      <c r="I53" s="206"/>
      <c r="J53" s="205">
        <v>10</v>
      </c>
      <c r="K53" s="205"/>
      <c r="L53" s="204">
        <f>ROUND((Q23+Q24)*J53*Q25/(Q24*10^3),3)</f>
        <v>1.4E-2</v>
      </c>
      <c r="M53" s="204"/>
      <c r="N53" s="205">
        <v>2000</v>
      </c>
      <c r="O53" s="205"/>
      <c r="P53" s="128">
        <v>1.1000000000000001</v>
      </c>
      <c r="Q53" s="130">
        <f>P53*N53*L53</f>
        <v>30.8</v>
      </c>
      <c r="R53" s="156">
        <f>ROUND(J53*N53*P53/10^3,2)</f>
        <v>22</v>
      </c>
    </row>
    <row r="54" spans="1:18" x14ac:dyDescent="0.25">
      <c r="A54" s="168"/>
      <c r="F54" s="138"/>
      <c r="G54" s="203"/>
      <c r="H54" s="206" t="s">
        <v>303</v>
      </c>
      <c r="I54" s="206"/>
      <c r="J54" s="205">
        <v>0</v>
      </c>
      <c r="K54" s="205"/>
      <c r="L54" s="204">
        <f>ROUND(Q23*Q25/2000,3)</f>
        <v>7.3999999999999996E-2</v>
      </c>
      <c r="M54" s="204"/>
      <c r="N54" s="205">
        <v>2500</v>
      </c>
      <c r="O54" s="205"/>
      <c r="P54" s="128">
        <v>1.1000000000000001</v>
      </c>
      <c r="Q54" s="130">
        <f>P54*N54*L54</f>
        <v>203.5</v>
      </c>
      <c r="R54" s="156">
        <v>0</v>
      </c>
    </row>
    <row r="55" spans="1:18" x14ac:dyDescent="0.25">
      <c r="A55" s="168"/>
      <c r="F55" s="138"/>
      <c r="G55" s="203"/>
      <c r="H55" s="206" t="s">
        <v>301</v>
      </c>
      <c r="I55" s="206"/>
      <c r="J55" s="205">
        <f>Q26</f>
        <v>150</v>
      </c>
      <c r="K55" s="205"/>
      <c r="L55" s="204"/>
      <c r="M55" s="204"/>
      <c r="N55" s="205">
        <v>2500</v>
      </c>
      <c r="O55" s="205"/>
      <c r="P55" s="128">
        <v>1.1000000000000001</v>
      </c>
      <c r="Q55" s="130">
        <f>P55*N55*J55/10^3</f>
        <v>412.5</v>
      </c>
      <c r="R55" s="156">
        <f>ROUND(J55*N55*P55/10^3,2)</f>
        <v>412.5</v>
      </c>
    </row>
    <row r="56" spans="1:18" x14ac:dyDescent="0.25">
      <c r="A56" s="168"/>
      <c r="F56" s="138"/>
      <c r="G56" s="203"/>
      <c r="H56" s="206" t="s">
        <v>302</v>
      </c>
      <c r="I56" s="206"/>
      <c r="J56" s="205">
        <v>15</v>
      </c>
      <c r="K56" s="205"/>
      <c r="L56" s="204"/>
      <c r="M56" s="204"/>
      <c r="N56" s="205">
        <v>2000</v>
      </c>
      <c r="O56" s="205"/>
      <c r="P56" s="128">
        <v>1.1000000000000001</v>
      </c>
      <c r="Q56" s="130">
        <f>P56*N56*J56/10^3</f>
        <v>33</v>
      </c>
      <c r="R56" s="156">
        <f>ROUND(J56*N56*P56/10^3,2)</f>
        <v>33</v>
      </c>
    </row>
    <row r="57" spans="1:18" x14ac:dyDescent="0.25">
      <c r="A57" s="168"/>
      <c r="F57" s="138"/>
      <c r="G57" s="203" t="s">
        <v>355</v>
      </c>
      <c r="H57" s="203"/>
      <c r="I57" s="203"/>
      <c r="J57" s="203"/>
      <c r="K57" s="203"/>
      <c r="L57" s="203"/>
      <c r="M57" s="203"/>
      <c r="N57" s="203"/>
      <c r="O57" s="203"/>
      <c r="P57" s="203"/>
      <c r="Q57" s="130">
        <f>SUM(Q52:Q56)</f>
        <v>726</v>
      </c>
      <c r="R57" s="156">
        <f>SUM(R52:R56)</f>
        <v>500.5</v>
      </c>
    </row>
    <row r="58" spans="1:18" x14ac:dyDescent="0.25">
      <c r="A58" s="168"/>
      <c r="F58" s="138"/>
      <c r="G58" s="131" t="s">
        <v>356</v>
      </c>
      <c r="H58" s="204" t="s">
        <v>357</v>
      </c>
      <c r="I58" s="204"/>
      <c r="J58" s="204"/>
      <c r="K58" s="204"/>
      <c r="L58" s="204"/>
      <c r="M58" s="204"/>
      <c r="N58" s="205">
        <v>300</v>
      </c>
      <c r="O58" s="205"/>
      <c r="P58" s="129">
        <v>1.3</v>
      </c>
      <c r="Q58" s="129">
        <f>N58*P58</f>
        <v>390</v>
      </c>
      <c r="R58" s="157">
        <f>Q58</f>
        <v>390</v>
      </c>
    </row>
    <row r="59" spans="1:18" x14ac:dyDescent="0.25">
      <c r="A59" s="168"/>
      <c r="F59" s="138"/>
      <c r="G59" s="132" t="s">
        <v>358</v>
      </c>
      <c r="H59" s="204" t="s">
        <v>359</v>
      </c>
      <c r="I59" s="204"/>
      <c r="J59" s="204"/>
      <c r="K59" s="204"/>
      <c r="L59" s="204"/>
      <c r="M59" s="204"/>
      <c r="N59" s="205">
        <v>30</v>
      </c>
      <c r="O59" s="205"/>
      <c r="P59" s="129">
        <f>IF(N59&lt;200,1.3,1.2)</f>
        <v>1.3</v>
      </c>
      <c r="Q59" s="129">
        <f>N59*P59</f>
        <v>39</v>
      </c>
      <c r="R59" s="157">
        <f>Q59</f>
        <v>39</v>
      </c>
    </row>
    <row r="60" spans="1:18" x14ac:dyDescent="0.25">
      <c r="A60" s="168"/>
      <c r="F60" s="138"/>
      <c r="G60" s="126" t="s">
        <v>360</v>
      </c>
      <c r="H60" s="204" t="s">
        <v>361</v>
      </c>
      <c r="I60" s="204"/>
      <c r="J60" s="204"/>
      <c r="K60" s="204"/>
      <c r="L60" s="204"/>
      <c r="M60" s="204"/>
      <c r="N60" s="204"/>
      <c r="O60" s="204"/>
      <c r="P60" s="204"/>
      <c r="Q60" s="133">
        <f>SUM(Q57:Q59)/100</f>
        <v>11.55</v>
      </c>
      <c r="R60" s="158">
        <f>SUM(R57:R59)/100</f>
        <v>9.2949999999999999</v>
      </c>
    </row>
    <row r="61" spans="1:18" x14ac:dyDescent="0.25">
      <c r="A61" s="168"/>
      <c r="F61" s="138"/>
      <c r="G61" s="138"/>
      <c r="H61" s="138"/>
      <c r="I61" s="138"/>
      <c r="J61" s="138"/>
      <c r="K61" s="138"/>
      <c r="L61" s="138"/>
      <c r="M61" s="138"/>
      <c r="N61" s="138"/>
      <c r="O61" s="138"/>
      <c r="P61" s="138"/>
      <c r="Q61" s="138"/>
      <c r="R61" s="139"/>
    </row>
    <row r="62" spans="1:18" x14ac:dyDescent="0.25">
      <c r="A62" s="168"/>
      <c r="F62" s="138"/>
      <c r="G62" s="138"/>
      <c r="H62" s="138"/>
      <c r="I62" s="138"/>
      <c r="J62" s="138"/>
      <c r="K62" s="138"/>
      <c r="L62" s="138"/>
      <c r="M62" s="138"/>
      <c r="N62" s="138"/>
      <c r="O62" s="138"/>
      <c r="P62" s="138"/>
      <c r="Q62" s="138"/>
      <c r="R62" s="139"/>
    </row>
    <row r="63" spans="1:18" x14ac:dyDescent="0.25">
      <c r="A63" s="168"/>
      <c r="F63" s="138"/>
      <c r="G63" s="138"/>
      <c r="H63" s="138"/>
      <c r="I63" s="138"/>
      <c r="J63" s="138"/>
      <c r="K63" s="138"/>
      <c r="L63" s="138"/>
      <c r="M63" s="138"/>
      <c r="N63" s="138"/>
      <c r="O63" s="138"/>
      <c r="P63" s="138"/>
      <c r="Q63" s="138"/>
      <c r="R63" s="139"/>
    </row>
    <row r="64" spans="1:18" x14ac:dyDescent="0.25">
      <c r="A64" s="168"/>
      <c r="F64" s="140" t="s">
        <v>18</v>
      </c>
      <c r="G64" s="141" t="s">
        <v>362</v>
      </c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9"/>
    </row>
    <row r="65" spans="1:20" x14ac:dyDescent="0.25">
      <c r="A65" s="168"/>
      <c r="F65" s="140">
        <v>1</v>
      </c>
      <c r="G65" s="141" t="s">
        <v>363</v>
      </c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9"/>
    </row>
    <row r="66" spans="1:20" x14ac:dyDescent="0.25">
      <c r="A66" s="168"/>
      <c r="F66" s="138"/>
      <c r="G66" s="142" t="s">
        <v>364</v>
      </c>
      <c r="H66" s="138"/>
      <c r="I66" s="138"/>
      <c r="J66" s="138"/>
      <c r="K66" s="138"/>
      <c r="L66" s="138"/>
      <c r="M66" s="138"/>
      <c r="N66" s="138"/>
      <c r="O66" s="138"/>
      <c r="P66" s="143" t="s">
        <v>365</v>
      </c>
      <c r="Q66" s="159">
        <f>(R60*S30*(S30/2+S31+S32)+Q60*S31*(S31/2+S32)/Q25+R60*S32^2/2)/(S30+S31+S32)</f>
        <v>28.851784845982497</v>
      </c>
      <c r="R66" s="145" t="s">
        <v>366</v>
      </c>
    </row>
    <row r="67" spans="1:20" x14ac:dyDescent="0.25">
      <c r="A67" s="168"/>
      <c r="F67" s="138"/>
      <c r="G67" s="142" t="s">
        <v>367</v>
      </c>
      <c r="H67" s="138"/>
      <c r="I67" s="138"/>
      <c r="J67" s="138"/>
      <c r="K67" s="138"/>
      <c r="L67" s="138"/>
      <c r="M67" s="138"/>
      <c r="N67" s="138"/>
      <c r="O67" s="138"/>
      <c r="P67" s="143" t="s">
        <v>368</v>
      </c>
      <c r="Q67" s="159">
        <f>(R60*S30+Q60*S31/Q25+R60*S32)-Q66</f>
        <v>29.226567633661102</v>
      </c>
      <c r="R67" s="145" t="s">
        <v>366</v>
      </c>
    </row>
    <row r="68" spans="1:20" x14ac:dyDescent="0.25">
      <c r="A68" s="168"/>
      <c r="F68" s="138"/>
      <c r="G68" s="142" t="s">
        <v>369</v>
      </c>
      <c r="H68" s="138"/>
      <c r="I68" s="138"/>
      <c r="J68" s="138"/>
      <c r="K68" s="138"/>
      <c r="L68" s="138"/>
      <c r="M68" s="138"/>
      <c r="N68" s="138"/>
      <c r="O68" s="138"/>
      <c r="P68" s="143" t="s">
        <v>370</v>
      </c>
      <c r="Q68" s="146">
        <f>(Q66-R60*S30+Q60*S30/Q25)*Q25/Q60</f>
        <v>2.6186191375037571</v>
      </c>
      <c r="R68" s="145" t="s">
        <v>315</v>
      </c>
    </row>
    <row r="69" spans="1:20" x14ac:dyDescent="0.25">
      <c r="A69" s="168"/>
      <c r="F69" s="138"/>
      <c r="G69" s="142" t="s">
        <v>371</v>
      </c>
      <c r="H69" s="138"/>
      <c r="I69" s="138"/>
      <c r="J69" s="138"/>
      <c r="K69" s="138"/>
      <c r="L69" s="138"/>
      <c r="M69" s="138"/>
      <c r="N69" s="138"/>
      <c r="O69" s="138"/>
      <c r="P69" s="143" t="s">
        <v>372</v>
      </c>
      <c r="Q69" s="159">
        <f>Q66*Q68-R60*S30*(Q68-S30*0.5)-Q60*(Q68-S30)^2/(2*Q25)</f>
        <v>41.385293944723394</v>
      </c>
      <c r="R69" s="145" t="s">
        <v>373</v>
      </c>
    </row>
    <row r="70" spans="1:20" x14ac:dyDescent="0.25">
      <c r="A70" s="168"/>
      <c r="F70" s="138"/>
      <c r="G70" s="142" t="s">
        <v>374</v>
      </c>
      <c r="H70" s="138"/>
      <c r="I70" s="138"/>
      <c r="J70" s="138"/>
      <c r="K70" s="138"/>
      <c r="L70" s="138">
        <f>IF(Q30&gt;Q32,Q30,Q30+Q31)</f>
        <v>1600</v>
      </c>
      <c r="M70" s="138" t="s">
        <v>375</v>
      </c>
      <c r="N70" s="138"/>
      <c r="O70" s="138"/>
      <c r="P70" s="143" t="s">
        <v>376</v>
      </c>
      <c r="Q70" s="159">
        <f>Q66*L70/1000-R60*S30*(L70/1000-S30*0.5)-Q60*(L70/1000-S30)^2/(2*Q25)</f>
        <v>34.265255753571992</v>
      </c>
      <c r="R70" s="145" t="s">
        <v>373</v>
      </c>
    </row>
    <row r="71" spans="1:20" x14ac:dyDescent="0.25">
      <c r="A71" s="168"/>
      <c r="F71" s="138"/>
      <c r="G71" s="142" t="s">
        <v>377</v>
      </c>
      <c r="H71" s="138"/>
      <c r="I71" s="138"/>
      <c r="J71" s="138"/>
      <c r="K71" s="138"/>
      <c r="L71" s="138"/>
      <c r="M71" s="138"/>
      <c r="N71" s="138"/>
      <c r="O71" s="138"/>
      <c r="P71" s="143" t="s">
        <v>378</v>
      </c>
      <c r="Q71" s="160">
        <v>0.4</v>
      </c>
      <c r="R71" s="139"/>
    </row>
    <row r="72" spans="1:20" x14ac:dyDescent="0.25">
      <c r="A72" s="168"/>
      <c r="F72" s="138"/>
      <c r="G72" s="138"/>
      <c r="H72" s="138"/>
      <c r="I72" s="138"/>
      <c r="J72" s="138"/>
      <c r="K72" s="138"/>
      <c r="L72" s="138"/>
      <c r="M72" s="138"/>
      <c r="N72" s="138"/>
      <c r="O72" s="138"/>
      <c r="P72" s="143" t="s">
        <v>379</v>
      </c>
      <c r="Q72" s="144">
        <v>0.7</v>
      </c>
      <c r="R72" s="139"/>
    </row>
    <row r="73" spans="1:20" x14ac:dyDescent="0.25">
      <c r="A73" s="168"/>
      <c r="F73" s="138"/>
      <c r="G73" s="138"/>
      <c r="H73" s="140"/>
      <c r="I73" s="140"/>
      <c r="J73" s="138"/>
      <c r="K73" s="138"/>
      <c r="L73" s="138"/>
      <c r="M73" s="138"/>
      <c r="N73" s="138"/>
      <c r="O73" s="138"/>
      <c r="P73" s="138"/>
      <c r="Q73" s="143"/>
      <c r="R73" s="161"/>
    </row>
    <row r="74" spans="1:20" ht="12.75" customHeight="1" x14ac:dyDescent="0.25">
      <c r="A74" s="168"/>
      <c r="F74" s="138"/>
      <c r="G74" s="201" t="s">
        <v>380</v>
      </c>
      <c r="H74" s="201" t="s">
        <v>381</v>
      </c>
      <c r="I74" s="201" t="s">
        <v>382</v>
      </c>
      <c r="J74" s="201" t="s">
        <v>168</v>
      </c>
      <c r="K74" s="201" t="s">
        <v>383</v>
      </c>
      <c r="L74" s="201" t="s">
        <v>384</v>
      </c>
      <c r="M74" s="201" t="s">
        <v>385</v>
      </c>
      <c r="N74" s="201" t="s">
        <v>386</v>
      </c>
      <c r="O74" s="202" t="s">
        <v>387</v>
      </c>
      <c r="P74" s="201" t="s">
        <v>386</v>
      </c>
      <c r="Q74" s="201" t="s">
        <v>388</v>
      </c>
      <c r="R74" s="162"/>
    </row>
    <row r="75" spans="1:20" x14ac:dyDescent="0.25">
      <c r="A75" s="168"/>
      <c r="F75" s="138"/>
      <c r="G75" s="201"/>
      <c r="H75" s="201"/>
      <c r="I75" s="201"/>
      <c r="J75" s="201"/>
      <c r="K75" s="201"/>
      <c r="L75" s="201"/>
      <c r="M75" s="201"/>
      <c r="N75" s="201"/>
      <c r="O75" s="201"/>
      <c r="P75" s="201"/>
      <c r="Q75" s="201"/>
      <c r="R75" s="162"/>
      <c r="S75" s="136" t="s">
        <v>389</v>
      </c>
      <c r="T75" s="124" t="s">
        <v>57</v>
      </c>
    </row>
    <row r="76" spans="1:20" ht="14.25" x14ac:dyDescent="0.25">
      <c r="A76" s="168"/>
      <c r="F76" s="138"/>
      <c r="G76" s="126" t="s">
        <v>390</v>
      </c>
      <c r="H76" s="130">
        <f>MAX(Q69:Q70)*Q72</f>
        <v>28.969705761306372</v>
      </c>
      <c r="I76" s="129">
        <v>1000</v>
      </c>
      <c r="J76" s="129">
        <f>Q27+10</f>
        <v>30</v>
      </c>
      <c r="K76" s="129">
        <f>Q26-J76</f>
        <v>120</v>
      </c>
      <c r="L76" s="129">
        <f>ROUND(H76*10^6/($Q$38*I76*K76^2),3)</f>
        <v>0.23699999999999999</v>
      </c>
      <c r="M76" s="129">
        <f>ROUND(1-SQRT(1-2*L76),3)</f>
        <v>0.27500000000000002</v>
      </c>
      <c r="N76" s="134">
        <f>M76*$Q$38*I76*K76/$Q$42</f>
        <v>813.04347826086973</v>
      </c>
      <c r="O76" s="126" t="str">
        <f>$S$75&amp;S76&amp;$T$75&amp;T76</f>
        <v>T12a100</v>
      </c>
      <c r="P76" s="135">
        <f>PI()*S76^2*1000/4/T76</f>
        <v>1130.9733552923256</v>
      </c>
      <c r="Q76" s="130">
        <f>P76*100/(I76*K76)</f>
        <v>0.94247779607693793</v>
      </c>
      <c r="R76" s="162"/>
      <c r="S76" s="137">
        <v>12</v>
      </c>
      <c r="T76" s="125">
        <v>100</v>
      </c>
    </row>
    <row r="77" spans="1:20" ht="14.25" x14ac:dyDescent="0.25">
      <c r="A77" s="168"/>
      <c r="F77" s="138"/>
      <c r="G77" s="126" t="s">
        <v>391</v>
      </c>
      <c r="H77" s="130">
        <f>MAX(Q69:Q70)*Q71</f>
        <v>16.554117577889357</v>
      </c>
      <c r="I77" s="129">
        <v>1000</v>
      </c>
      <c r="J77" s="129">
        <f>J76</f>
        <v>30</v>
      </c>
      <c r="K77" s="129">
        <f>Q26-J76</f>
        <v>120</v>
      </c>
      <c r="L77" s="129">
        <f>ROUND(H77*10^6/($Q$38*I77*K77^2),3)</f>
        <v>0.13500000000000001</v>
      </c>
      <c r="M77" s="129">
        <f>ROUND(1-SQRT(1-2*L77),3)</f>
        <v>0.14599999999999999</v>
      </c>
      <c r="N77" s="134">
        <f>M77*$Q$38*I77*K77/$Q$42</f>
        <v>431.65217391304338</v>
      </c>
      <c r="O77" s="126" t="str">
        <f>$S$75&amp;S77&amp;$T$75&amp;T77</f>
        <v>T10a125</v>
      </c>
      <c r="P77" s="135">
        <f>PI()*S77^2*1000/4/T77</f>
        <v>628.31853071795865</v>
      </c>
      <c r="Q77" s="130">
        <f>P77*100/(I77*K77)</f>
        <v>0.52359877559829882</v>
      </c>
      <c r="R77" s="162"/>
      <c r="S77" s="137">
        <v>10</v>
      </c>
      <c r="T77" s="125">
        <v>125</v>
      </c>
    </row>
    <row r="78" spans="1:20" x14ac:dyDescent="0.25">
      <c r="A78" s="168"/>
      <c r="F78" s="138"/>
      <c r="G78" s="138"/>
      <c r="H78" s="138"/>
      <c r="I78" s="138"/>
      <c r="J78" s="138"/>
      <c r="K78" s="138"/>
      <c r="L78" s="138"/>
      <c r="M78" s="138"/>
      <c r="N78" s="138"/>
      <c r="O78" s="138"/>
      <c r="P78" s="138"/>
      <c r="Q78" s="138"/>
      <c r="R78" s="139"/>
      <c r="T78" s="122"/>
    </row>
    <row r="79" spans="1:20" x14ac:dyDescent="0.25">
      <c r="A79" s="168"/>
      <c r="F79" s="140">
        <v>2</v>
      </c>
      <c r="G79" s="141" t="s">
        <v>392</v>
      </c>
      <c r="H79" s="140"/>
      <c r="I79" s="138"/>
      <c r="J79" s="138"/>
      <c r="K79" s="138"/>
      <c r="L79" s="138"/>
      <c r="M79" s="138"/>
      <c r="N79" s="138"/>
      <c r="O79" s="138"/>
      <c r="P79" s="138"/>
      <c r="Q79" s="138"/>
      <c r="R79" s="139"/>
      <c r="T79" s="122"/>
    </row>
    <row r="80" spans="1:20" ht="14.25" x14ac:dyDescent="0.25">
      <c r="A80" s="168"/>
      <c r="F80" s="138"/>
      <c r="G80" s="142" t="s">
        <v>393</v>
      </c>
      <c r="H80" s="138"/>
      <c r="I80" s="138"/>
      <c r="J80" s="138"/>
      <c r="K80" s="138"/>
      <c r="L80" s="138"/>
      <c r="M80" s="138"/>
      <c r="N80" s="138"/>
      <c r="O80" s="138"/>
      <c r="P80" s="143" t="s">
        <v>319</v>
      </c>
      <c r="Q80" s="138">
        <f>Q28</f>
        <v>200</v>
      </c>
      <c r="R80" s="145" t="s">
        <v>1</v>
      </c>
      <c r="T80" s="122"/>
    </row>
    <row r="81" spans="1:20" ht="14.25" x14ac:dyDescent="0.25">
      <c r="A81" s="168"/>
      <c r="F81" s="138"/>
      <c r="G81" s="138"/>
      <c r="H81" s="138"/>
      <c r="I81" s="138"/>
      <c r="J81" s="138"/>
      <c r="K81" s="138"/>
      <c r="L81" s="138"/>
      <c r="M81" s="138"/>
      <c r="N81" s="138"/>
      <c r="O81" s="138"/>
      <c r="P81" s="143" t="s">
        <v>321</v>
      </c>
      <c r="Q81" s="138">
        <f>Q29</f>
        <v>300</v>
      </c>
      <c r="R81" s="145" t="s">
        <v>1</v>
      </c>
      <c r="T81" s="122"/>
    </row>
    <row r="82" spans="1:20" x14ac:dyDescent="0.25">
      <c r="A82" s="168"/>
      <c r="F82" s="138"/>
      <c r="G82" s="142" t="s">
        <v>394</v>
      </c>
      <c r="H82" s="138"/>
      <c r="I82" s="138"/>
      <c r="J82" s="138"/>
      <c r="K82" s="138"/>
      <c r="L82" s="138"/>
      <c r="M82" s="138"/>
      <c r="N82" s="138"/>
      <c r="O82" s="138"/>
      <c r="P82" s="143" t="s">
        <v>395</v>
      </c>
      <c r="Q82" s="138">
        <f>Q33*2+Q34</f>
        <v>2600</v>
      </c>
      <c r="R82" s="145" t="s">
        <v>1</v>
      </c>
      <c r="S82" s="122">
        <f>Q82/1000</f>
        <v>2.6</v>
      </c>
      <c r="T82" s="123" t="s">
        <v>315</v>
      </c>
    </row>
    <row r="83" spans="1:20" x14ac:dyDescent="0.25">
      <c r="A83" s="168"/>
      <c r="F83" s="138"/>
      <c r="G83" s="142" t="s">
        <v>396</v>
      </c>
      <c r="H83" s="138"/>
      <c r="I83" s="138"/>
      <c r="J83" s="138"/>
      <c r="K83" s="138"/>
      <c r="L83" s="138"/>
      <c r="M83" s="138"/>
      <c r="N83" s="138"/>
      <c r="O83" s="138"/>
      <c r="P83" s="143" t="s">
        <v>397</v>
      </c>
      <c r="Q83" s="159">
        <f>MAX(Q66:Q67)*S33*S82^2/8</f>
        <v>29.635739580532356</v>
      </c>
      <c r="R83" s="145" t="s">
        <v>373</v>
      </c>
      <c r="T83" s="122"/>
    </row>
    <row r="84" spans="1:20" x14ac:dyDescent="0.25">
      <c r="A84" s="168"/>
      <c r="F84" s="138"/>
      <c r="G84" s="142" t="s">
        <v>398</v>
      </c>
      <c r="H84" s="138"/>
      <c r="I84" s="138"/>
      <c r="J84" s="138"/>
      <c r="K84" s="138"/>
      <c r="L84" s="138"/>
      <c r="M84" s="138"/>
      <c r="N84" s="138"/>
      <c r="O84" s="138"/>
      <c r="P84" s="143" t="s">
        <v>399</v>
      </c>
      <c r="Q84" s="159">
        <f>MAX(Q66:Q67)*S33*S82/2</f>
        <v>45.593445508511316</v>
      </c>
      <c r="R84" s="145" t="s">
        <v>366</v>
      </c>
      <c r="T84" s="122"/>
    </row>
    <row r="85" spans="1:20" x14ac:dyDescent="0.25">
      <c r="A85" s="168"/>
      <c r="F85" s="138"/>
      <c r="G85" s="138"/>
      <c r="H85" s="138"/>
      <c r="I85" s="138"/>
      <c r="J85" s="138"/>
      <c r="K85" s="138"/>
      <c r="L85" s="138"/>
      <c r="M85" s="138"/>
      <c r="N85" s="138"/>
      <c r="O85" s="138"/>
      <c r="P85" s="138"/>
      <c r="Q85" s="138"/>
      <c r="R85" s="139"/>
      <c r="T85" s="122"/>
    </row>
    <row r="86" spans="1:20" x14ac:dyDescent="0.25">
      <c r="A86" s="168"/>
      <c r="F86" s="138"/>
      <c r="G86" s="201" t="s">
        <v>380</v>
      </c>
      <c r="H86" s="201" t="s">
        <v>381</v>
      </c>
      <c r="I86" s="201" t="s">
        <v>382</v>
      </c>
      <c r="J86" s="201" t="s">
        <v>168</v>
      </c>
      <c r="K86" s="201" t="s">
        <v>383</v>
      </c>
      <c r="L86" s="201" t="s">
        <v>384</v>
      </c>
      <c r="M86" s="201" t="s">
        <v>385</v>
      </c>
      <c r="N86" s="201" t="s">
        <v>386</v>
      </c>
      <c r="O86" s="202" t="s">
        <v>387</v>
      </c>
      <c r="P86" s="201" t="s">
        <v>386</v>
      </c>
      <c r="Q86" s="201" t="s">
        <v>388</v>
      </c>
      <c r="R86" s="139"/>
      <c r="T86" s="122"/>
    </row>
    <row r="87" spans="1:20" x14ac:dyDescent="0.25">
      <c r="A87" s="168"/>
      <c r="F87" s="138"/>
      <c r="G87" s="201"/>
      <c r="H87" s="201"/>
      <c r="I87" s="201"/>
      <c r="J87" s="201"/>
      <c r="K87" s="201"/>
      <c r="L87" s="201"/>
      <c r="M87" s="201"/>
      <c r="N87" s="201"/>
      <c r="O87" s="201"/>
      <c r="P87" s="201"/>
      <c r="Q87" s="201"/>
      <c r="R87" s="139"/>
      <c r="S87" s="136" t="s">
        <v>52</v>
      </c>
      <c r="T87" s="124" t="s">
        <v>389</v>
      </c>
    </row>
    <row r="88" spans="1:20" ht="14.25" x14ac:dyDescent="0.25">
      <c r="A88" s="168"/>
      <c r="F88" s="138"/>
      <c r="G88" s="126" t="s">
        <v>390</v>
      </c>
      <c r="H88" s="130">
        <f>Q83</f>
        <v>29.635739580532356</v>
      </c>
      <c r="I88" s="129">
        <f>Q80</f>
        <v>200</v>
      </c>
      <c r="J88" s="129">
        <f>J76+10</f>
        <v>40</v>
      </c>
      <c r="K88" s="129">
        <f>Q81-J88</f>
        <v>260</v>
      </c>
      <c r="L88" s="129">
        <f>ROUND(H88*10^6/($Q$38*I88*K88^2),3)</f>
        <v>0.25800000000000001</v>
      </c>
      <c r="M88" s="129">
        <f>ROUND(1-SQRT(1-2*L88),3)</f>
        <v>0.30399999999999999</v>
      </c>
      <c r="N88" s="134">
        <f>M88*$Q$38*I88*K88/$Q$42</f>
        <v>389.47246376811603</v>
      </c>
      <c r="O88" s="126" t="str">
        <f>S88&amp;T87&amp;T88</f>
        <v>3T16</v>
      </c>
      <c r="P88" s="135">
        <f>S88*PI()*T88^2/4</f>
        <v>603.18578948924028</v>
      </c>
      <c r="Q88" s="130">
        <f>P88*100/(I88*K88)</f>
        <v>1.1599726720946928</v>
      </c>
      <c r="R88" s="139"/>
      <c r="S88" s="137">
        <v>3</v>
      </c>
      <c r="T88" s="125">
        <v>16</v>
      </c>
    </row>
    <row r="89" spans="1:20" x14ac:dyDescent="0.25">
      <c r="A89" s="168"/>
      <c r="F89" s="138"/>
      <c r="G89" s="138"/>
      <c r="H89" s="138"/>
      <c r="I89" s="138"/>
      <c r="J89" s="138"/>
      <c r="K89" s="138"/>
      <c r="L89" s="138"/>
      <c r="M89" s="138"/>
      <c r="N89" s="138"/>
      <c r="O89" s="138"/>
      <c r="P89" s="138"/>
      <c r="Q89" s="138"/>
      <c r="R89" s="139"/>
    </row>
    <row r="90" spans="1:20" x14ac:dyDescent="0.25">
      <c r="A90" s="16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9"/>
    </row>
    <row r="91" spans="1:20" ht="13.5" thickBot="1" x14ac:dyDescent="0.3">
      <c r="A91" s="170"/>
      <c r="B91" s="171"/>
      <c r="C91" s="171"/>
      <c r="D91" s="171"/>
      <c r="E91" s="171"/>
      <c r="F91" s="163"/>
      <c r="G91" s="163"/>
      <c r="H91" s="163"/>
      <c r="I91" s="163"/>
      <c r="J91" s="163"/>
      <c r="K91" s="163"/>
      <c r="L91" s="163"/>
      <c r="M91" s="163"/>
      <c r="N91" s="163"/>
      <c r="O91" s="163"/>
      <c r="P91" s="163"/>
      <c r="Q91" s="163"/>
      <c r="R91" s="164"/>
    </row>
  </sheetData>
  <protectedRanges>
    <protectedRange sqref="Q37" name="Range1"/>
  </protectedRanges>
  <mergeCells count="58">
    <mergeCell ref="F6:R7"/>
    <mergeCell ref="Q49:Q50"/>
    <mergeCell ref="R49:R50"/>
    <mergeCell ref="G52:G56"/>
    <mergeCell ref="H52:I52"/>
    <mergeCell ref="J52:K52"/>
    <mergeCell ref="L52:M52"/>
    <mergeCell ref="N52:O52"/>
    <mergeCell ref="H53:I53"/>
    <mergeCell ref="J53:K53"/>
    <mergeCell ref="L53:M53"/>
    <mergeCell ref="G49:G51"/>
    <mergeCell ref="H49:I51"/>
    <mergeCell ref="J49:K51"/>
    <mergeCell ref="L49:M51"/>
    <mergeCell ref="N49:O51"/>
    <mergeCell ref="P49:P51"/>
    <mergeCell ref="H58:M58"/>
    <mergeCell ref="N58:O58"/>
    <mergeCell ref="N53:O53"/>
    <mergeCell ref="H54:I54"/>
    <mergeCell ref="J54:K54"/>
    <mergeCell ref="L54:M54"/>
    <mergeCell ref="N54:O54"/>
    <mergeCell ref="H55:I55"/>
    <mergeCell ref="J55:K55"/>
    <mergeCell ref="L55:M55"/>
    <mergeCell ref="N55:O55"/>
    <mergeCell ref="H56:I56"/>
    <mergeCell ref="J56:K56"/>
    <mergeCell ref="L56:M56"/>
    <mergeCell ref="N56:O56"/>
    <mergeCell ref="G57:P57"/>
    <mergeCell ref="H59:M59"/>
    <mergeCell ref="N59:O59"/>
    <mergeCell ref="H60:P60"/>
    <mergeCell ref="G74:G75"/>
    <mergeCell ref="H74:H75"/>
    <mergeCell ref="I74:I75"/>
    <mergeCell ref="J74:J75"/>
    <mergeCell ref="K74:K75"/>
    <mergeCell ref="L74:L75"/>
    <mergeCell ref="M74:M75"/>
    <mergeCell ref="N74:N75"/>
    <mergeCell ref="O74:O75"/>
    <mergeCell ref="P74:P75"/>
    <mergeCell ref="Q74:Q75"/>
    <mergeCell ref="G86:G87"/>
    <mergeCell ref="H86:H87"/>
    <mergeCell ref="I86:I87"/>
    <mergeCell ref="J86:J87"/>
    <mergeCell ref="K86:K87"/>
    <mergeCell ref="L86:L87"/>
    <mergeCell ref="M86:M87"/>
    <mergeCell ref="N86:N87"/>
    <mergeCell ref="O86:O87"/>
    <mergeCell ref="P86:P87"/>
    <mergeCell ref="Q86:Q87"/>
  </mergeCells>
  <dataValidations disablePrompts="1" count="2">
    <dataValidation type="list" allowBlank="1" showInputMessage="1" showErrorMessage="1" sqref="Q37" xr:uid="{26B29F18-0935-45D1-9F3B-8F504F73D27D}">
      <formula1>"B15,B20,B22.5,B25,B30,B35,B40"</formula1>
    </dataValidation>
    <dataValidation type="list" allowBlank="1" showInputMessage="1" showErrorMessage="1" sqref="Q43 Q41" xr:uid="{6FD53536-B345-471A-AE09-4F2E9E53F843}">
      <formula1>INDIRECT("'Table'!$AK$5:$AK$16")</formula1>
    </dataValidation>
  </dataValidations>
  <pageMargins left="0.5" right="0.5" top="0.5" bottom="0.5" header="0.3" footer="0.3"/>
  <pageSetup paperSize="9" scale="85" orientation="portrait" r:id="rId1"/>
  <drawing r:id="rId2"/>
  <legacyDrawing r:id="rId3"/>
  <oleObjects>
    <mc:AlternateContent xmlns:mc="http://schemas.openxmlformats.org/markup-compatibility/2006">
      <mc:Choice Requires="x14">
        <oleObject progId="AutoCAD.Drawing.17" shapeId="11265" r:id="rId4">
          <objectPr defaultSize="0" autoPict="0" r:id="rId5">
            <anchor moveWithCells="1">
              <from>
                <xdr:col>11</xdr:col>
                <xdr:colOff>161925</xdr:colOff>
                <xdr:row>7</xdr:row>
                <xdr:rowOff>123825</xdr:rowOff>
              </from>
              <to>
                <xdr:col>17</xdr:col>
                <xdr:colOff>438150</xdr:colOff>
                <xdr:row>19</xdr:row>
                <xdr:rowOff>9525</xdr:rowOff>
              </to>
            </anchor>
          </objectPr>
        </oleObject>
      </mc:Choice>
      <mc:Fallback>
        <oleObject progId="AutoCAD.Drawing.17" shapeId="11265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C00000"/>
  </sheetPr>
  <dimension ref="A1:CN41"/>
  <sheetViews>
    <sheetView tabSelected="1" zoomScale="85" zoomScaleNormal="85" workbookViewId="0">
      <selection activeCell="CE16" sqref="CE16"/>
    </sheetView>
  </sheetViews>
  <sheetFormatPr defaultColWidth="1.42578125" defaultRowHeight="15" x14ac:dyDescent="0.25"/>
  <cols>
    <col min="1" max="6" width="1.42578125" style="4"/>
    <col min="7" max="15" width="1.42578125" style="2"/>
    <col min="16" max="61" width="1.42578125" style="3"/>
    <col min="62" max="62" width="2" style="3" bestFit="1" customWidth="1"/>
    <col min="63" max="73" width="1.42578125" style="6"/>
    <col min="74" max="76" width="1.42578125" style="3"/>
    <col min="77" max="78" width="8.28515625" style="11" customWidth="1"/>
    <col min="79" max="79" width="8.28515625" style="12" customWidth="1"/>
    <col min="80" max="80" width="8.28515625" style="11" customWidth="1"/>
    <col min="81" max="81" width="9.5703125" style="13" bestFit="1" customWidth="1"/>
    <col min="82" max="82" width="8.28515625" style="11" customWidth="1"/>
    <col min="83" max="83" width="8.28515625" style="12" customWidth="1"/>
    <col min="84" max="84" width="9.85546875" style="11" customWidth="1"/>
    <col min="85" max="87" width="8.28515625" style="11" customWidth="1"/>
    <col min="88" max="88" width="8.28515625" style="10" customWidth="1"/>
    <col min="89" max="90" width="8.28515625" style="9" customWidth="1"/>
    <col min="91" max="97" width="8.28515625" style="1" customWidth="1"/>
    <col min="98" max="16384" width="1.42578125" style="1"/>
  </cols>
  <sheetData>
    <row r="1" spans="1:92" ht="15" customHeight="1" x14ac:dyDescent="0.25">
      <c r="A1" s="4" t="s">
        <v>153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189"/>
      <c r="BB1" s="189"/>
      <c r="BC1" s="189"/>
      <c r="BD1" s="189"/>
      <c r="BE1" s="189"/>
      <c r="BF1" s="189"/>
      <c r="BG1" s="189"/>
      <c r="BH1" s="189"/>
      <c r="BI1" s="189"/>
      <c r="BJ1" s="189"/>
      <c r="BK1" s="189"/>
      <c r="BL1" s="189"/>
      <c r="BM1" s="189"/>
      <c r="BN1" s="189"/>
      <c r="BO1" s="189"/>
      <c r="BP1" s="189"/>
      <c r="BQ1" s="189"/>
      <c r="BR1" s="189"/>
      <c r="BS1" s="189"/>
      <c r="BT1" s="189"/>
      <c r="BU1" s="189"/>
      <c r="BV1" s="189"/>
      <c r="BW1" s="189"/>
      <c r="BY1" s="59" t="s">
        <v>7</v>
      </c>
      <c r="BZ1" s="59" t="s">
        <v>5</v>
      </c>
      <c r="CA1" s="60" t="s">
        <v>6</v>
      </c>
      <c r="CB1" s="59" t="s">
        <v>8</v>
      </c>
      <c r="CC1" s="61">
        <f>ATAN((CA5-CA4)/(BZ5-BZ4))</f>
        <v>0.52272849400868771</v>
      </c>
      <c r="CD1" s="59" t="str">
        <f>H19&amp;Z19&amp;BA19&amp;AV21&amp;BU21&amp;BU22&amp;BQ25&amp;BI25&amp;BF25&amp;AO27&amp;M30&amp;U30&amp;D22&amp;D31&amp;D33&amp;G36&amp;J36&amp;R36</f>
        <v>200030001500157.1428571428571202802001100200120+0.050314.28571428571422001202802001700250</v>
      </c>
      <c r="CE1" s="60"/>
      <c r="CF1" s="59" t="s">
        <v>9</v>
      </c>
      <c r="CG1" s="60">
        <f>MAX(CE9,CE12,CE15)</f>
        <v>2150</v>
      </c>
      <c r="CH1" s="59" t="s">
        <v>13</v>
      </c>
      <c r="CI1" s="60">
        <f>MIN(BZ2:BZ13)</f>
        <v>0</v>
      </c>
      <c r="CN1" s="9"/>
    </row>
    <row r="2" spans="1:92" x14ac:dyDescent="0.25">
      <c r="B2" s="189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  <c r="AG2" s="189"/>
      <c r="AH2" s="189"/>
      <c r="AI2" s="189"/>
      <c r="AJ2" s="189"/>
      <c r="AK2" s="189"/>
      <c r="AL2" s="189"/>
      <c r="AM2" s="189"/>
      <c r="AN2" s="189"/>
      <c r="AO2" s="189"/>
      <c r="AP2" s="189"/>
      <c r="AQ2" s="189"/>
      <c r="AR2" s="189"/>
      <c r="AS2" s="189"/>
      <c r="AT2" s="189"/>
      <c r="AU2" s="189"/>
      <c r="AV2" s="189"/>
      <c r="AW2" s="189"/>
      <c r="AX2" s="189"/>
      <c r="AY2" s="189"/>
      <c r="AZ2" s="189"/>
      <c r="BA2" s="189"/>
      <c r="BB2" s="189"/>
      <c r="BC2" s="189"/>
      <c r="BD2" s="189"/>
      <c r="BE2" s="189"/>
      <c r="BF2" s="189"/>
      <c r="BG2" s="189"/>
      <c r="BH2" s="189"/>
      <c r="BI2" s="189"/>
      <c r="BJ2" s="189"/>
      <c r="BK2" s="189"/>
      <c r="BL2" s="189"/>
      <c r="BM2" s="189"/>
      <c r="BN2" s="189"/>
      <c r="BO2" s="189"/>
      <c r="BP2" s="189"/>
      <c r="BQ2" s="189"/>
      <c r="BR2" s="189"/>
      <c r="BS2" s="189"/>
      <c r="BT2" s="189"/>
      <c r="BU2" s="189"/>
      <c r="BV2" s="189"/>
      <c r="BW2" s="189"/>
      <c r="BY2" s="59">
        <v>1</v>
      </c>
      <c r="BZ2" s="59">
        <v>0</v>
      </c>
      <c r="CA2" s="60">
        <v>0</v>
      </c>
      <c r="CB2" s="59"/>
      <c r="CC2" s="62"/>
      <c r="CD2" s="59"/>
      <c r="CE2" s="60"/>
      <c r="CF2" s="59" t="s">
        <v>10</v>
      </c>
      <c r="CG2" s="60">
        <f>IF(CG1=CE9,CE10,IF(CG1=CE12,CE13,CE16))</f>
        <v>262.21975624153885</v>
      </c>
      <c r="CH2" s="59" t="s">
        <v>14</v>
      </c>
      <c r="CI2" s="60">
        <f>MAX(MAX(BZ2:BZ13),MAX(CA2:CA13)-MIN(CA2:CA13))*2/3</f>
        <v>4333.333333333333</v>
      </c>
      <c r="CN2" s="9"/>
    </row>
    <row r="3" spans="1:92" x14ac:dyDescent="0.25">
      <c r="BY3" s="59">
        <f>BY2+1</f>
        <v>2</v>
      </c>
      <c r="BZ3" s="59">
        <f>BZ2+H19</f>
        <v>2000</v>
      </c>
      <c r="CA3" s="60">
        <f>CA2</f>
        <v>0</v>
      </c>
      <c r="CB3" s="59" t="s">
        <v>19</v>
      </c>
      <c r="CC3" s="62" t="s">
        <v>5</v>
      </c>
      <c r="CD3" s="59" t="s">
        <v>6</v>
      </c>
      <c r="CE3" s="60"/>
      <c r="CF3" s="59" t="s">
        <v>11</v>
      </c>
      <c r="CG3" s="60">
        <f>IF(BU22=0,CE20,MIN(CE20,CE23))</f>
        <v>5000</v>
      </c>
      <c r="CH3" s="59" t="s">
        <v>15</v>
      </c>
      <c r="CI3" s="60">
        <f>CI1</f>
        <v>0</v>
      </c>
      <c r="CN3" s="9"/>
    </row>
    <row r="4" spans="1:92" x14ac:dyDescent="0.25">
      <c r="BY4" s="59">
        <f t="shared" ref="BY4:BY25" si="0">BY3+1</f>
        <v>3</v>
      </c>
      <c r="BZ4" s="59">
        <f>BZ3</f>
        <v>2000</v>
      </c>
      <c r="CA4" s="60">
        <f>CA3+U30</f>
        <v>314.28571428571428</v>
      </c>
      <c r="CB4" s="59" t="s">
        <v>17</v>
      </c>
      <c r="CC4" s="62">
        <f>BZ4+AO27/SIN(CC1)</f>
        <v>2240.3624065229492</v>
      </c>
      <c r="CD4" s="62">
        <f>CA4</f>
        <v>314.28571428571428</v>
      </c>
      <c r="CE4" s="60"/>
      <c r="CF4" s="59" t="s">
        <v>12</v>
      </c>
      <c r="CG4" s="60">
        <f>IF(BU22=0,CE21,IF(CG3=CE20,CE21,CE24))</f>
        <v>1904.3626133843964</v>
      </c>
      <c r="CH4" s="59" t="s">
        <v>16</v>
      </c>
      <c r="CI4" s="60">
        <f>CI2/2</f>
        <v>2166.6666666666665</v>
      </c>
      <c r="CN4" s="9"/>
    </row>
    <row r="5" spans="1:92" x14ac:dyDescent="0.25">
      <c r="BY5" s="59">
        <f t="shared" si="0"/>
        <v>4</v>
      </c>
      <c r="BZ5" s="59">
        <f>BZ4+Z19</f>
        <v>5000</v>
      </c>
      <c r="CA5" s="60">
        <f>CA3+D22-AV21</f>
        <v>2042.8571428571429</v>
      </c>
      <c r="CB5" s="59" t="s">
        <v>18</v>
      </c>
      <c r="CC5" s="62">
        <f>BZ5+AO27/SIN(CC1)</f>
        <v>5240.3624065229487</v>
      </c>
      <c r="CD5" s="62">
        <f>CA5</f>
        <v>2042.8571428571429</v>
      </c>
      <c r="CE5" s="60"/>
      <c r="CF5" s="59"/>
      <c r="CG5" s="59"/>
      <c r="CH5" s="59"/>
      <c r="CI5" s="59"/>
      <c r="CN5" s="9"/>
    </row>
    <row r="6" spans="1:92" x14ac:dyDescent="0.25">
      <c r="BY6" s="59">
        <f t="shared" si="0"/>
        <v>5</v>
      </c>
      <c r="BZ6" s="59">
        <f>BZ5</f>
        <v>5000</v>
      </c>
      <c r="CA6" s="60">
        <f>CA5+AV21</f>
        <v>2200</v>
      </c>
      <c r="CB6" s="59"/>
      <c r="CC6" s="62"/>
      <c r="CD6" s="59"/>
      <c r="CE6" s="60"/>
      <c r="CF6" s="59"/>
      <c r="CG6" s="59"/>
      <c r="CH6" s="59"/>
      <c r="CI6" s="59"/>
      <c r="CN6" s="9"/>
    </row>
    <row r="7" spans="1:92" x14ac:dyDescent="0.25">
      <c r="BY7" s="59">
        <f t="shared" si="0"/>
        <v>6</v>
      </c>
      <c r="BZ7" s="59">
        <f>BZ6+BA19</f>
        <v>6500</v>
      </c>
      <c r="CA7" s="60">
        <f>CA6</f>
        <v>2200</v>
      </c>
      <c r="CB7" s="187" t="s">
        <v>20</v>
      </c>
      <c r="CC7" s="187"/>
      <c r="CD7" s="187"/>
      <c r="CE7" s="187"/>
      <c r="CF7" s="187"/>
      <c r="CG7" s="59"/>
      <c r="CH7" s="59"/>
      <c r="CI7" s="59"/>
      <c r="CN7" s="9"/>
    </row>
    <row r="8" spans="1:92" x14ac:dyDescent="0.25">
      <c r="BY8" s="59">
        <f t="shared" si="0"/>
        <v>7</v>
      </c>
      <c r="BZ8" s="59">
        <f>BZ7</f>
        <v>6500</v>
      </c>
      <c r="CA8" s="60">
        <f>IF(BQ25=0,CA7-BU21,CA7-BU21-BU22)</f>
        <v>1800</v>
      </c>
      <c r="CB8" s="59" t="s">
        <v>21</v>
      </c>
      <c r="CC8" s="62" t="s">
        <v>5</v>
      </c>
      <c r="CD8" s="59" t="s">
        <v>6</v>
      </c>
      <c r="CE8" s="60" t="s">
        <v>22</v>
      </c>
      <c r="CF8" s="59"/>
      <c r="CG8" s="59"/>
      <c r="CH8" s="59"/>
      <c r="CI8" s="59"/>
      <c r="CN8" s="9"/>
    </row>
    <row r="9" spans="1:92" x14ac:dyDescent="0.25">
      <c r="BY9" s="59">
        <f t="shared" si="0"/>
        <v>8</v>
      </c>
      <c r="BZ9" s="59">
        <f>BZ8-BQ25</f>
        <v>6300</v>
      </c>
      <c r="CA9" s="60">
        <f>IF(BQ25=0,CA7-BU21,CA7-BU21-BU22)</f>
        <v>1800</v>
      </c>
      <c r="CB9" s="59">
        <v>17</v>
      </c>
      <c r="CC9" s="62">
        <f>BZ18</f>
        <v>2150</v>
      </c>
      <c r="CD9" s="60">
        <f>CA18</f>
        <v>-120</v>
      </c>
      <c r="CE9" s="60">
        <f>GD(CC4,CD4,CC5,CD5,CC9,CD9,CC10,CD10,CD1,"X")</f>
        <v>2150</v>
      </c>
      <c r="CF9" s="59" t="s">
        <v>5</v>
      </c>
      <c r="CG9" s="59"/>
      <c r="CH9" s="59"/>
      <c r="CI9" s="59"/>
      <c r="CN9" s="9"/>
    </row>
    <row r="10" spans="1:92" x14ac:dyDescent="0.25">
      <c r="BY10" s="59">
        <f t="shared" si="0"/>
        <v>9</v>
      </c>
      <c r="BZ10" s="59">
        <f>BZ7-BQ25</f>
        <v>6300</v>
      </c>
      <c r="CA10" s="60">
        <f>CA7-BU21</f>
        <v>2080</v>
      </c>
      <c r="CB10" s="59">
        <v>18</v>
      </c>
      <c r="CC10" s="62">
        <f>CC9</f>
        <v>2150</v>
      </c>
      <c r="CD10" s="60">
        <f>CD9+1000</f>
        <v>880</v>
      </c>
      <c r="CE10" s="60">
        <f>GD(CC4,CD4,CC5,CD5,CC9,CD9,CC10,CD10,CD1,"Y")</f>
        <v>262.21975624153885</v>
      </c>
      <c r="CF10" s="59" t="s">
        <v>6</v>
      </c>
      <c r="CG10" s="59"/>
      <c r="CH10" s="59"/>
      <c r="CI10" s="59"/>
      <c r="CN10" s="9"/>
    </row>
    <row r="11" spans="1:92" x14ac:dyDescent="0.25">
      <c r="BY11" s="59">
        <f t="shared" si="0"/>
        <v>10</v>
      </c>
      <c r="BZ11" s="59">
        <f>IF(BF25=0,BZ10,BZ10-BI25)</f>
        <v>5200</v>
      </c>
      <c r="CA11" s="60">
        <f>CA10</f>
        <v>2080</v>
      </c>
      <c r="CB11" s="59"/>
      <c r="CC11" s="62"/>
      <c r="CD11" s="59"/>
      <c r="CE11" s="60"/>
      <c r="CF11" s="59"/>
      <c r="CG11" s="59"/>
      <c r="CH11" s="59"/>
      <c r="CI11" s="59"/>
      <c r="CN11" s="9"/>
    </row>
    <row r="12" spans="1:92" x14ac:dyDescent="0.25">
      <c r="BY12" s="59">
        <f t="shared" si="0"/>
        <v>11</v>
      </c>
      <c r="BZ12" s="59">
        <f>BZ11</f>
        <v>5200</v>
      </c>
      <c r="CA12" s="60">
        <f>IF(BF25=0,CA11,CA11-BU22)</f>
        <v>1800</v>
      </c>
      <c r="CB12" s="59">
        <v>21</v>
      </c>
      <c r="CC12" s="62">
        <f>BZ22</f>
        <v>200</v>
      </c>
      <c r="CD12" s="60">
        <f>CA22</f>
        <v>-120</v>
      </c>
      <c r="CE12" s="60">
        <f>GD(CC4,CD4,CC5,CD5,CC12,CD12,CC13,CD13,CD1,"X")</f>
        <v>1486.6433982584865</v>
      </c>
      <c r="CF12" s="59" t="s">
        <v>5</v>
      </c>
      <c r="CG12" s="59"/>
      <c r="CH12" s="59"/>
      <c r="CI12" s="59"/>
      <c r="CN12" s="9"/>
    </row>
    <row r="13" spans="1:92" x14ac:dyDescent="0.25">
      <c r="BY13" s="59">
        <f t="shared" si="0"/>
        <v>12</v>
      </c>
      <c r="BZ13" s="59">
        <f>BZ12-BF25</f>
        <v>5000</v>
      </c>
      <c r="CA13" s="60">
        <f>CA12</f>
        <v>1800</v>
      </c>
      <c r="CB13" s="59">
        <v>20</v>
      </c>
      <c r="CC13" s="62">
        <f>CC12+1000</f>
        <v>1200</v>
      </c>
      <c r="CD13" s="60">
        <f>CD12</f>
        <v>-120</v>
      </c>
      <c r="CE13" s="60">
        <f>GD(CC4,CD4,CC5,CD5,CC12,CD12,CC13,CD13,CD1,"Y")</f>
        <v>-120</v>
      </c>
      <c r="CF13" s="59" t="s">
        <v>6</v>
      </c>
      <c r="CG13" s="59"/>
      <c r="CH13" s="59"/>
      <c r="CI13" s="59"/>
      <c r="CN13" s="9"/>
    </row>
    <row r="14" spans="1:92" x14ac:dyDescent="0.25">
      <c r="BY14" s="59">
        <f t="shared" si="0"/>
        <v>13</v>
      </c>
      <c r="BZ14" s="60">
        <f>IF(BF25=0,BZ15,IF(AND(BZ15=CE23,CA15=CE24),BZ13,BZ13))</f>
        <v>5000</v>
      </c>
      <c r="CA14" s="60">
        <f>IF(BF25=0,CA15,IF(AND(BZ15=CE23,CA15=CE24),CA13,CA13+BU22))</f>
        <v>1800</v>
      </c>
      <c r="CB14" s="63"/>
      <c r="CC14" s="63"/>
      <c r="CD14" s="59"/>
      <c r="CE14" s="60"/>
      <c r="CF14" s="59"/>
      <c r="CG14" s="59"/>
      <c r="CH14" s="59"/>
      <c r="CI14" s="59"/>
      <c r="CN14" s="9"/>
    </row>
    <row r="15" spans="1:92" x14ac:dyDescent="0.25">
      <c r="BY15" s="59">
        <f t="shared" si="0"/>
        <v>14</v>
      </c>
      <c r="BZ15" s="60">
        <f>CG3</f>
        <v>5000</v>
      </c>
      <c r="CA15" s="60">
        <f>CG4</f>
        <v>1904.3626133843964</v>
      </c>
      <c r="CB15" s="59">
        <v>16</v>
      </c>
      <c r="CC15" s="62">
        <f>IF(U30=0,CC9,BZ17)</f>
        <v>2150</v>
      </c>
      <c r="CD15" s="59">
        <f>IF(U30=0,CD9,CA17)</f>
        <v>-120</v>
      </c>
      <c r="CE15" s="60">
        <f>GD(CC4,CD4,CC5,CD5,CC15,CD15,CC16,CD16,CD1,"X")</f>
        <v>2150</v>
      </c>
      <c r="CF15" s="59" t="s">
        <v>5</v>
      </c>
      <c r="CG15" s="59"/>
      <c r="CH15" s="59"/>
      <c r="CI15" s="59"/>
      <c r="CN15" s="9"/>
    </row>
    <row r="16" spans="1:92" x14ac:dyDescent="0.25">
      <c r="BY16" s="59">
        <f t="shared" si="0"/>
        <v>15</v>
      </c>
      <c r="BZ16" s="60">
        <f>CG1</f>
        <v>2150</v>
      </c>
      <c r="CA16" s="60">
        <f>CG2</f>
        <v>262.21975624153885</v>
      </c>
      <c r="CB16" s="63">
        <v>15</v>
      </c>
      <c r="CC16" s="64">
        <f>CC15</f>
        <v>2150</v>
      </c>
      <c r="CD16" s="59">
        <f>CD15+1000</f>
        <v>880</v>
      </c>
      <c r="CE16" s="60">
        <f>GD(CC4,CD4,CC5,CD5,CC15,CD15,CC16,CD16,CD1,"Y")</f>
        <v>262.21975624153885</v>
      </c>
      <c r="CF16" s="59" t="s">
        <v>6</v>
      </c>
      <c r="CG16" s="59"/>
      <c r="CH16" s="62"/>
      <c r="CI16" s="59"/>
      <c r="CN16" s="9"/>
    </row>
    <row r="17" spans="4:92" x14ac:dyDescent="0.25">
      <c r="BY17" s="59">
        <f t="shared" si="0"/>
        <v>16</v>
      </c>
      <c r="BZ17" s="60">
        <f>IF(U30=0,CG1,MAX(H19+AO27,BZ18))</f>
        <v>2150</v>
      </c>
      <c r="CA17" s="60">
        <f>IF(U30=0,CG2,CA18)</f>
        <v>-120</v>
      </c>
      <c r="CB17" s="63"/>
      <c r="CC17" s="63"/>
      <c r="CD17" s="59"/>
      <c r="CE17" s="60"/>
      <c r="CF17" s="59"/>
      <c r="CG17" s="59"/>
      <c r="CH17" s="62"/>
      <c r="CI17" s="59"/>
      <c r="CN17" s="9"/>
    </row>
    <row r="18" spans="4:92" x14ac:dyDescent="0.25">
      <c r="BY18" s="59">
        <f t="shared" si="0"/>
        <v>17</v>
      </c>
      <c r="BZ18" s="59">
        <f>BZ20+R36</f>
        <v>2150</v>
      </c>
      <c r="CA18" s="60">
        <f>CA21</f>
        <v>-120</v>
      </c>
      <c r="CB18" s="187" t="s">
        <v>23</v>
      </c>
      <c r="CC18" s="187"/>
      <c r="CD18" s="187"/>
      <c r="CE18" s="187"/>
      <c r="CF18" s="187"/>
      <c r="CG18" s="59"/>
      <c r="CH18" s="62"/>
      <c r="CI18" s="59"/>
      <c r="CN18" s="9"/>
    </row>
    <row r="19" spans="4:92" x14ac:dyDescent="0.25">
      <c r="H19" s="183">
        <v>2000</v>
      </c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183">
        <v>3000</v>
      </c>
      <c r="AA19" s="183"/>
      <c r="AB19" s="183"/>
      <c r="AC19" s="183"/>
      <c r="AD19" s="183"/>
      <c r="AE19" s="183"/>
      <c r="AF19" s="183"/>
      <c r="AG19" s="183"/>
      <c r="AH19" s="183"/>
      <c r="AI19" s="183"/>
      <c r="AJ19" s="183"/>
      <c r="AK19" s="183"/>
      <c r="AL19" s="183"/>
      <c r="AM19" s="183"/>
      <c r="AN19" s="183"/>
      <c r="AO19" s="183"/>
      <c r="AP19" s="183"/>
      <c r="AQ19" s="183"/>
      <c r="AR19" s="183"/>
      <c r="AS19" s="183"/>
      <c r="AT19" s="183"/>
      <c r="AU19" s="183"/>
      <c r="AV19" s="183"/>
      <c r="AW19" s="183"/>
      <c r="AX19" s="183"/>
      <c r="AY19" s="183"/>
      <c r="AZ19" s="2"/>
      <c r="BA19" s="183">
        <v>1500</v>
      </c>
      <c r="BB19" s="183"/>
      <c r="BC19" s="183"/>
      <c r="BD19" s="183"/>
      <c r="BE19" s="183"/>
      <c r="BF19" s="183"/>
      <c r="BG19" s="183"/>
      <c r="BH19" s="183"/>
      <c r="BI19" s="183"/>
      <c r="BJ19" s="183"/>
      <c r="BK19" s="183"/>
      <c r="BL19" s="183"/>
      <c r="BM19" s="183"/>
      <c r="BN19" s="183"/>
      <c r="BO19" s="183"/>
      <c r="BP19" s="183"/>
      <c r="BQ19" s="183"/>
      <c r="BR19" s="183"/>
      <c r="BY19" s="59">
        <f t="shared" si="0"/>
        <v>18</v>
      </c>
      <c r="BZ19" s="59">
        <f>IF(R36=0,BZ18,BZ20+R36)</f>
        <v>2150</v>
      </c>
      <c r="CA19" s="60">
        <f>IF(R36=0,CA18,CA20)</f>
        <v>-400</v>
      </c>
      <c r="CB19" s="59" t="s">
        <v>21</v>
      </c>
      <c r="CC19" s="62" t="s">
        <v>5</v>
      </c>
      <c r="CD19" s="59" t="s">
        <v>6</v>
      </c>
      <c r="CE19" s="60" t="s">
        <v>22</v>
      </c>
      <c r="CF19" s="59"/>
      <c r="CG19" s="59"/>
      <c r="CH19" s="62"/>
      <c r="CI19" s="59"/>
      <c r="CN19" s="9"/>
    </row>
    <row r="20" spans="4:92" x14ac:dyDescent="0.25">
      <c r="G20" s="3"/>
      <c r="H20" s="3"/>
      <c r="I20" s="3"/>
      <c r="J20" s="3"/>
      <c r="K20" s="3"/>
      <c r="L20" s="3"/>
      <c r="M20" s="3"/>
      <c r="N20" s="3"/>
      <c r="O20" s="3"/>
      <c r="BY20" s="59">
        <f t="shared" si="0"/>
        <v>19</v>
      </c>
      <c r="BZ20" s="59">
        <f>IF(R36=0,BZ21,BZ21)</f>
        <v>1900</v>
      </c>
      <c r="CA20" s="60">
        <f>IF(R36=0,CA21,CA21-D33)</f>
        <v>-400</v>
      </c>
      <c r="CB20" s="59">
        <v>9</v>
      </c>
      <c r="CC20" s="62">
        <f>BZ10</f>
        <v>6300</v>
      </c>
      <c r="CD20" s="60">
        <f>CA10</f>
        <v>2080</v>
      </c>
      <c r="CE20" s="60">
        <f>GD(CC4,CD4,CC5,CD5,CC20,CD20,CC21,CD21,CD1,"X")</f>
        <v>5304.8252164403038</v>
      </c>
      <c r="CF20" s="59" t="s">
        <v>5</v>
      </c>
      <c r="CG20" s="59"/>
      <c r="CH20" s="62"/>
      <c r="CI20" s="59"/>
      <c r="CN20" s="9"/>
    </row>
    <row r="21" spans="4:92" x14ac:dyDescent="0.25">
      <c r="G21" s="3"/>
      <c r="H21" s="3"/>
      <c r="I21" s="3"/>
      <c r="J21" s="3"/>
      <c r="K21" s="3"/>
      <c r="L21" s="3"/>
      <c r="M21" s="3"/>
      <c r="N21" s="3"/>
      <c r="O21" s="3"/>
      <c r="AL21" s="5"/>
      <c r="AV21" s="184">
        <f>D22/(U28+AI23)</f>
        <v>157.14285714285714</v>
      </c>
      <c r="AW21" s="184"/>
      <c r="AX21" s="184"/>
      <c r="BU21" s="183">
        <v>120</v>
      </c>
      <c r="BV21" s="183"/>
      <c r="BW21" s="183"/>
      <c r="BY21" s="59">
        <f t="shared" si="0"/>
        <v>20</v>
      </c>
      <c r="BZ21" s="59">
        <f>BZ22+J36</f>
        <v>1900</v>
      </c>
      <c r="CA21" s="60">
        <f>CA22</f>
        <v>-120</v>
      </c>
      <c r="CB21" s="59">
        <v>10</v>
      </c>
      <c r="CC21" s="62">
        <f>CC20-1000</f>
        <v>5300</v>
      </c>
      <c r="CD21" s="60">
        <f>CD20</f>
        <v>2080</v>
      </c>
      <c r="CE21" s="60">
        <f>GD(CC4,CD4,CC5,CD5,CC20,CD20,CC21,CD21,CD1,"Y")</f>
        <v>2080</v>
      </c>
      <c r="CF21" s="59" t="s">
        <v>6</v>
      </c>
      <c r="CG21" s="59"/>
      <c r="CH21" s="62"/>
      <c r="CI21" s="59"/>
      <c r="CN21" s="9"/>
    </row>
    <row r="22" spans="4:92" ht="15" customHeight="1" x14ac:dyDescent="0.25">
      <c r="D22" s="185">
        <v>2200</v>
      </c>
      <c r="E22" s="185"/>
      <c r="G22" s="3"/>
      <c r="H22" s="3"/>
      <c r="AK22" s="5"/>
      <c r="AL22" s="5"/>
      <c r="AV22" s="184"/>
      <c r="AW22" s="184"/>
      <c r="AX22" s="184"/>
      <c r="BU22" s="188">
        <v>280</v>
      </c>
      <c r="BV22" s="188"/>
      <c r="BW22" s="188"/>
      <c r="BY22" s="59">
        <f t="shared" si="0"/>
        <v>21</v>
      </c>
      <c r="BZ22" s="59">
        <f>BZ25+G36</f>
        <v>200</v>
      </c>
      <c r="CA22" s="60">
        <f>CA25-D31</f>
        <v>-120</v>
      </c>
      <c r="CB22" s="59"/>
      <c r="CC22" s="62"/>
      <c r="CD22" s="59"/>
      <c r="CE22" s="60"/>
      <c r="CF22" s="59"/>
      <c r="CG22" s="59"/>
      <c r="CH22" s="62"/>
      <c r="CI22" s="59"/>
      <c r="CN22" s="9"/>
    </row>
    <row r="23" spans="4:92" x14ac:dyDescent="0.25">
      <c r="D23" s="185"/>
      <c r="E23" s="185"/>
      <c r="G23" s="3"/>
      <c r="H23" s="3"/>
      <c r="I23" s="179" t="s">
        <v>66</v>
      </c>
      <c r="J23" s="179"/>
      <c r="K23" s="179"/>
      <c r="L23" s="179"/>
      <c r="M23" s="179"/>
      <c r="N23" s="179"/>
      <c r="O23" s="179"/>
      <c r="P23" s="179"/>
      <c r="Q23" s="179"/>
      <c r="R23" s="179"/>
      <c r="S23" s="179"/>
      <c r="T23" s="179"/>
      <c r="U23" s="179"/>
      <c r="V23" s="179"/>
      <c r="W23" s="179"/>
      <c r="X23" s="179"/>
      <c r="Y23" s="179"/>
      <c r="Z23" s="180" t="s">
        <v>71</v>
      </c>
      <c r="AA23" s="181"/>
      <c r="AB23" s="181"/>
      <c r="AC23" s="181"/>
      <c r="AI23" s="173">
        <v>12</v>
      </c>
      <c r="AJ23" s="174"/>
      <c r="AK23" s="174"/>
      <c r="AL23" s="174"/>
      <c r="AM23" s="175"/>
      <c r="BU23" s="188"/>
      <c r="BV23" s="188"/>
      <c r="BW23" s="188"/>
      <c r="BY23" s="59">
        <f t="shared" si="0"/>
        <v>22</v>
      </c>
      <c r="BZ23" s="59">
        <f>BZ25+G36</f>
        <v>200</v>
      </c>
      <c r="CA23" s="60">
        <f>IF(G36=0,CA25-D31,CA25-D31-D33)</f>
        <v>-400</v>
      </c>
      <c r="CB23" s="59">
        <v>12</v>
      </c>
      <c r="CC23" s="62">
        <f>BZ13</f>
        <v>5000</v>
      </c>
      <c r="CD23" s="60">
        <f>CA13</f>
        <v>1800</v>
      </c>
      <c r="CE23" s="60">
        <f>IF(BF25=0,CE20,GD(CC4,CD4,CC5,CD5,CC23,CD23,CC24,CD24,CD1,"X"))</f>
        <v>5000</v>
      </c>
      <c r="CF23" s="59" t="s">
        <v>5</v>
      </c>
      <c r="CG23" s="59"/>
      <c r="CH23" s="62"/>
      <c r="CI23" s="59"/>
      <c r="CN23" s="9"/>
    </row>
    <row r="24" spans="4:92" x14ac:dyDescent="0.25">
      <c r="D24" s="185"/>
      <c r="E24" s="185"/>
      <c r="I24" s="179" t="s">
        <v>67</v>
      </c>
      <c r="J24" s="179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179"/>
      <c r="W24" s="179"/>
      <c r="X24" s="179"/>
      <c r="Y24" s="179"/>
      <c r="Z24" s="180" t="s">
        <v>71</v>
      </c>
      <c r="AA24" s="181"/>
      <c r="AB24" s="181"/>
      <c r="AC24" s="181"/>
      <c r="AI24" s="176" t="s">
        <v>38</v>
      </c>
      <c r="AJ24" s="177"/>
      <c r="AK24" s="177"/>
      <c r="AL24" s="177"/>
      <c r="AM24" s="178"/>
      <c r="BY24" s="59">
        <f t="shared" si="0"/>
        <v>23</v>
      </c>
      <c r="BZ24" s="59">
        <f>BZ25</f>
        <v>0</v>
      </c>
      <c r="CA24" s="60">
        <f>IF(G36=0,CA25-D31,CA25-D31-D33)</f>
        <v>-400</v>
      </c>
      <c r="CB24" s="63">
        <v>13</v>
      </c>
      <c r="CC24" s="64">
        <f>CC23</f>
        <v>5000</v>
      </c>
      <c r="CD24" s="65">
        <f>CD23+1000</f>
        <v>2800</v>
      </c>
      <c r="CE24" s="60">
        <f>IF(BF25=0,CE21,GD(CC4,CD4,CC5,CD5,CC23,CD23,CC24,CD24,CD1,"Y"))</f>
        <v>1904.3626133843964</v>
      </c>
      <c r="CF24" s="59" t="s">
        <v>6</v>
      </c>
      <c r="CG24" s="59"/>
      <c r="CH24" s="59"/>
      <c r="CI24" s="59"/>
      <c r="CN24" s="9"/>
    </row>
    <row r="25" spans="4:92" x14ac:dyDescent="0.25">
      <c r="D25" s="185"/>
      <c r="E25" s="185"/>
      <c r="I25" s="182" t="s">
        <v>160</v>
      </c>
      <c r="J25" s="182"/>
      <c r="K25" s="182"/>
      <c r="L25" s="182"/>
      <c r="M25" s="182"/>
      <c r="N25" s="182"/>
      <c r="O25" s="182"/>
      <c r="P25" s="182"/>
      <c r="Q25" s="182"/>
      <c r="R25" s="182"/>
      <c r="S25" s="182"/>
      <c r="T25" s="182"/>
      <c r="U25" s="182"/>
      <c r="V25" s="182"/>
      <c r="W25" s="182"/>
      <c r="X25" s="182"/>
      <c r="Y25" s="182"/>
      <c r="Z25" s="180" t="s">
        <v>71</v>
      </c>
      <c r="AA25" s="181"/>
      <c r="AB25" s="181"/>
      <c r="AC25" s="181"/>
      <c r="BF25" s="188">
        <v>200</v>
      </c>
      <c r="BG25" s="188"/>
      <c r="BH25" s="188"/>
      <c r="BI25" s="183">
        <v>1100</v>
      </c>
      <c r="BJ25" s="183"/>
      <c r="BK25" s="183"/>
      <c r="BL25" s="183"/>
      <c r="BM25" s="183"/>
      <c r="BN25" s="183"/>
      <c r="BO25" s="183"/>
      <c r="BP25" s="183"/>
      <c r="BQ25" s="183">
        <v>200</v>
      </c>
      <c r="BR25" s="183"/>
      <c r="BS25" s="183"/>
      <c r="BY25" s="59">
        <f t="shared" si="0"/>
        <v>24</v>
      </c>
      <c r="BZ25" s="59">
        <f>BZ2</f>
        <v>0</v>
      </c>
      <c r="CA25" s="60">
        <f>CA2</f>
        <v>0</v>
      </c>
      <c r="CB25" s="59"/>
      <c r="CC25" s="62"/>
      <c r="CD25" s="59"/>
      <c r="CE25" s="60"/>
      <c r="CF25" s="59"/>
      <c r="CG25" s="59"/>
      <c r="CH25" s="59"/>
      <c r="CI25" s="59"/>
      <c r="CN25" s="9"/>
    </row>
    <row r="26" spans="4:92" x14ac:dyDescent="0.25">
      <c r="D26" s="185"/>
      <c r="E26" s="185"/>
      <c r="I26" s="182" t="s">
        <v>161</v>
      </c>
      <c r="J26" s="182"/>
      <c r="K26" s="182"/>
      <c r="L26" s="182"/>
      <c r="M26" s="182"/>
      <c r="N26" s="182"/>
      <c r="O26" s="182"/>
      <c r="P26" s="182"/>
      <c r="Q26" s="182"/>
      <c r="R26" s="182"/>
      <c r="S26" s="182"/>
      <c r="T26" s="182"/>
      <c r="U26" s="182"/>
      <c r="V26" s="182"/>
      <c r="W26" s="182"/>
      <c r="X26" s="182"/>
      <c r="Y26" s="182"/>
      <c r="Z26" s="180" t="s">
        <v>71</v>
      </c>
      <c r="AA26" s="181"/>
      <c r="AB26" s="181"/>
      <c r="AC26" s="181"/>
      <c r="BH26" s="197" t="s">
        <v>24</v>
      </c>
      <c r="BI26" s="197"/>
      <c r="BJ26" s="197"/>
      <c r="BK26" s="197"/>
      <c r="BL26" s="196">
        <f>BA19-BF25-BQ25</f>
        <v>1100</v>
      </c>
      <c r="BM26" s="196"/>
      <c r="BN26" s="196"/>
      <c r="BO26" s="196"/>
      <c r="BP26" s="196"/>
      <c r="BQ26" s="7"/>
      <c r="CN26" s="9"/>
    </row>
    <row r="27" spans="4:92" x14ac:dyDescent="0.25">
      <c r="D27" s="185"/>
      <c r="E27" s="185"/>
      <c r="AO27" s="183">
        <v>120</v>
      </c>
      <c r="AP27" s="183"/>
      <c r="AQ27" s="183"/>
      <c r="CN27" s="9"/>
    </row>
    <row r="28" spans="4:92" x14ac:dyDescent="0.25">
      <c r="D28" s="185"/>
      <c r="E28" s="185"/>
      <c r="U28" s="173">
        <v>2</v>
      </c>
      <c r="V28" s="174"/>
      <c r="W28" s="174"/>
      <c r="X28" s="175"/>
      <c r="AT28" s="190" t="s">
        <v>25</v>
      </c>
      <c r="AU28" s="190"/>
      <c r="AV28" s="190"/>
      <c r="AW28" s="190"/>
      <c r="AX28" s="190"/>
      <c r="AY28" s="190"/>
      <c r="AZ28" s="190"/>
      <c r="BA28" s="190"/>
      <c r="BB28" s="190"/>
      <c r="BC28" s="190"/>
      <c r="BD28" s="190"/>
      <c r="BE28" s="190"/>
      <c r="BF28" s="190"/>
      <c r="BG28" s="190"/>
      <c r="BH28" s="190"/>
      <c r="BI28" s="190"/>
      <c r="BJ28" s="198">
        <v>15</v>
      </c>
      <c r="BK28" s="198"/>
      <c r="BL28" s="198"/>
      <c r="BM28" s="198"/>
      <c r="BN28" s="198"/>
      <c r="BO28" s="198"/>
      <c r="BP28" s="199"/>
      <c r="BQ28" s="199"/>
      <c r="BR28" s="199"/>
      <c r="BS28" s="199"/>
      <c r="BT28" s="199"/>
      <c r="BU28" s="199"/>
      <c r="BV28" s="199"/>
      <c r="BW28" s="199"/>
      <c r="BX28" s="199"/>
    </row>
    <row r="29" spans="4:92" x14ac:dyDescent="0.25">
      <c r="D29" s="185"/>
      <c r="E29" s="185"/>
      <c r="U29" s="176" t="s">
        <v>38</v>
      </c>
      <c r="V29" s="177"/>
      <c r="W29" s="177"/>
      <c r="X29" s="178"/>
      <c r="AT29" s="191" t="s">
        <v>34</v>
      </c>
      <c r="AU29" s="192"/>
      <c r="AV29" s="192"/>
      <c r="AW29" s="192"/>
      <c r="AX29" s="192"/>
      <c r="AY29" s="192"/>
      <c r="AZ29" s="192"/>
      <c r="BA29" s="192"/>
      <c r="BB29" s="192"/>
      <c r="BC29" s="192"/>
      <c r="BD29" s="192"/>
      <c r="BE29" s="192"/>
      <c r="BF29" s="192"/>
      <c r="BG29" s="192"/>
      <c r="BH29" s="192"/>
      <c r="BI29" s="193"/>
      <c r="BJ29" s="198">
        <v>1260</v>
      </c>
      <c r="BK29" s="198"/>
      <c r="BL29" s="198"/>
      <c r="BM29" s="198"/>
      <c r="BN29" s="198"/>
      <c r="BO29" s="198"/>
      <c r="BP29" s="199"/>
      <c r="BQ29" s="199"/>
      <c r="BR29" s="199"/>
      <c r="BS29" s="199"/>
      <c r="BT29" s="199"/>
      <c r="BU29" s="199"/>
      <c r="BV29" s="199"/>
      <c r="BW29" s="199"/>
      <c r="BX29" s="199"/>
    </row>
    <row r="30" spans="4:92" x14ac:dyDescent="0.25">
      <c r="D30" s="185"/>
      <c r="E30" s="185"/>
      <c r="M30" s="186" t="s">
        <v>4</v>
      </c>
      <c r="N30" s="186"/>
      <c r="O30" s="186"/>
      <c r="P30" s="186"/>
      <c r="Q30" s="186"/>
      <c r="R30" s="8"/>
      <c r="U30" s="184">
        <f>AV21*2</f>
        <v>314.28571428571428</v>
      </c>
      <c r="V30" s="184"/>
      <c r="W30" s="184"/>
      <c r="AT30" s="191" t="s">
        <v>26</v>
      </c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5"/>
      <c r="BJ30" s="198" t="s">
        <v>41</v>
      </c>
      <c r="BK30" s="198"/>
      <c r="BL30" s="198"/>
      <c r="BM30" s="198"/>
      <c r="BN30" s="198"/>
      <c r="BO30" s="198"/>
      <c r="BP30" s="199"/>
      <c r="BQ30" s="199"/>
      <c r="BR30" s="199"/>
      <c r="BS30" s="199"/>
      <c r="BT30" s="199"/>
      <c r="BU30" s="199"/>
      <c r="BV30" s="199"/>
      <c r="BW30" s="199"/>
      <c r="BX30" s="199"/>
    </row>
    <row r="31" spans="4:92" x14ac:dyDescent="0.25">
      <c r="D31" s="200">
        <v>120</v>
      </c>
      <c r="E31" s="200"/>
      <c r="U31" s="184"/>
      <c r="V31" s="184"/>
      <c r="W31" s="184"/>
      <c r="AT31" s="191" t="s">
        <v>29</v>
      </c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5"/>
      <c r="BJ31" s="198">
        <v>2200</v>
      </c>
      <c r="BK31" s="198"/>
      <c r="BL31" s="198"/>
      <c r="BM31" s="198"/>
      <c r="BN31" s="198"/>
      <c r="BO31" s="198"/>
      <c r="BP31" s="199"/>
      <c r="BQ31" s="199"/>
      <c r="BR31" s="199"/>
      <c r="BS31" s="199"/>
      <c r="BT31" s="199"/>
      <c r="BU31" s="199"/>
      <c r="BV31" s="199"/>
      <c r="BW31" s="199"/>
      <c r="BX31" s="199"/>
    </row>
    <row r="32" spans="4:92" x14ac:dyDescent="0.25">
      <c r="D32" s="200"/>
      <c r="E32" s="200"/>
      <c r="AT32" s="191" t="s">
        <v>27</v>
      </c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5"/>
      <c r="BJ32" s="198" t="s">
        <v>42</v>
      </c>
      <c r="BK32" s="198"/>
      <c r="BL32" s="198"/>
      <c r="BM32" s="198"/>
      <c r="BN32" s="198"/>
      <c r="BO32" s="198"/>
      <c r="BP32" s="199"/>
      <c r="BQ32" s="199"/>
      <c r="BR32" s="199"/>
      <c r="BS32" s="199"/>
      <c r="BT32" s="199"/>
      <c r="BU32" s="199"/>
      <c r="BV32" s="199"/>
      <c r="BW32" s="199"/>
      <c r="BX32" s="199"/>
    </row>
    <row r="33" spans="4:76" ht="15" customHeight="1" x14ac:dyDescent="0.25">
      <c r="D33" s="185">
        <v>280</v>
      </c>
      <c r="E33" s="185"/>
      <c r="AD33" s="172" t="s">
        <v>36</v>
      </c>
      <c r="AE33" s="172"/>
      <c r="AF33" s="172"/>
      <c r="AG33" s="172"/>
      <c r="AH33" s="172"/>
      <c r="AI33" s="172"/>
      <c r="AJ33" s="172"/>
      <c r="AK33" s="172"/>
      <c r="AL33" s="172"/>
      <c r="AM33" s="172"/>
      <c r="AN33" s="172"/>
      <c r="AO33" s="172"/>
      <c r="AP33" s="172"/>
      <c r="AQ33" s="172"/>
      <c r="AT33" s="191" t="s">
        <v>30</v>
      </c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5"/>
      <c r="BJ33" s="198" t="s">
        <v>42</v>
      </c>
      <c r="BK33" s="198"/>
      <c r="BL33" s="198"/>
      <c r="BM33" s="198"/>
      <c r="BN33" s="198"/>
      <c r="BO33" s="198"/>
      <c r="BP33" s="199"/>
      <c r="BQ33" s="199"/>
      <c r="BR33" s="199"/>
      <c r="BS33" s="199"/>
      <c r="BT33" s="199"/>
      <c r="BU33" s="199"/>
      <c r="BV33" s="199"/>
      <c r="BW33" s="199"/>
      <c r="BX33" s="199"/>
    </row>
    <row r="34" spans="4:76" x14ac:dyDescent="0.25">
      <c r="D34" s="185"/>
      <c r="E34" s="185"/>
      <c r="AD34" s="172" t="s">
        <v>40</v>
      </c>
      <c r="AE34" s="172"/>
      <c r="AF34" s="172"/>
      <c r="AG34" s="172"/>
      <c r="AH34" s="172"/>
      <c r="AI34" s="172"/>
      <c r="AJ34" s="172"/>
      <c r="AK34" s="172"/>
      <c r="AL34" s="172"/>
      <c r="AM34" s="172"/>
      <c r="AN34" s="172"/>
      <c r="AO34" s="172"/>
      <c r="AP34" s="172"/>
      <c r="AQ34" s="172"/>
      <c r="AT34" s="191" t="s">
        <v>31</v>
      </c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5"/>
      <c r="BJ34" s="198" t="s">
        <v>42</v>
      </c>
      <c r="BK34" s="198"/>
      <c r="BL34" s="198"/>
      <c r="BM34" s="198"/>
      <c r="BN34" s="198"/>
      <c r="BO34" s="198"/>
      <c r="BP34" s="199"/>
      <c r="BQ34" s="199"/>
      <c r="BR34" s="199"/>
      <c r="BS34" s="199"/>
      <c r="BT34" s="199"/>
      <c r="BU34" s="199"/>
      <c r="BV34" s="199"/>
      <c r="BW34" s="199"/>
      <c r="BX34" s="199"/>
    </row>
    <row r="35" spans="4:76" x14ac:dyDescent="0.25">
      <c r="AT35" s="191" t="s">
        <v>32</v>
      </c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5"/>
      <c r="BJ35" s="198" t="s">
        <v>42</v>
      </c>
      <c r="BK35" s="198"/>
      <c r="BL35" s="198"/>
      <c r="BM35" s="198"/>
      <c r="BN35" s="198"/>
      <c r="BO35" s="198"/>
      <c r="BP35" s="199"/>
      <c r="BQ35" s="199"/>
      <c r="BR35" s="199"/>
      <c r="BS35" s="199"/>
      <c r="BT35" s="199"/>
      <c r="BU35" s="199"/>
      <c r="BV35" s="199"/>
      <c r="BW35" s="199"/>
      <c r="BX35" s="199"/>
    </row>
    <row r="36" spans="4:76" x14ac:dyDescent="0.25">
      <c r="G36" s="183">
        <v>200</v>
      </c>
      <c r="H36" s="183"/>
      <c r="I36" s="183"/>
      <c r="J36" s="183">
        <v>1700</v>
      </c>
      <c r="K36" s="183"/>
      <c r="L36" s="183"/>
      <c r="M36" s="183"/>
      <c r="N36" s="183"/>
      <c r="O36" s="183"/>
      <c r="P36" s="183"/>
      <c r="Q36" s="183"/>
      <c r="R36" s="183">
        <v>250</v>
      </c>
      <c r="S36" s="183"/>
      <c r="T36" s="183"/>
      <c r="AT36" s="191" t="s">
        <v>33</v>
      </c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5"/>
      <c r="BJ36" s="198" t="s">
        <v>43</v>
      </c>
      <c r="BK36" s="198"/>
      <c r="BL36" s="198"/>
      <c r="BM36" s="198"/>
      <c r="BN36" s="198"/>
      <c r="BO36" s="198"/>
      <c r="BP36" s="198"/>
      <c r="BQ36" s="198"/>
      <c r="BR36" s="198"/>
      <c r="BS36" s="198"/>
      <c r="BT36" s="198"/>
      <c r="BU36" s="198"/>
      <c r="BV36" s="198"/>
      <c r="BW36" s="198"/>
      <c r="BX36" s="198"/>
    </row>
    <row r="37" spans="4:76" x14ac:dyDescent="0.25">
      <c r="AT37" s="191" t="s">
        <v>28</v>
      </c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5"/>
      <c r="BJ37" s="198" t="s">
        <v>157</v>
      </c>
      <c r="BK37" s="198"/>
      <c r="BL37" s="198"/>
      <c r="BM37" s="198"/>
      <c r="BN37" s="198"/>
      <c r="BO37" s="198"/>
      <c r="BP37" s="198"/>
      <c r="BQ37" s="198"/>
      <c r="BR37" s="198"/>
      <c r="BS37" s="198"/>
      <c r="BT37" s="198"/>
      <c r="BU37" s="198"/>
      <c r="BV37" s="198"/>
      <c r="BW37" s="198"/>
      <c r="BX37" s="198"/>
    </row>
    <row r="38" spans="4:76" x14ac:dyDescent="0.25">
      <c r="AT38" s="191" t="s">
        <v>35</v>
      </c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5"/>
      <c r="BJ38" s="198">
        <v>30</v>
      </c>
      <c r="BK38" s="198"/>
      <c r="BL38" s="198"/>
      <c r="BM38" s="198"/>
      <c r="BN38" s="198"/>
      <c r="BO38" s="198"/>
      <c r="BP38" s="198"/>
      <c r="BQ38" s="198"/>
      <c r="BR38" s="198"/>
      <c r="BS38" s="198"/>
      <c r="BT38" s="198"/>
      <c r="BU38" s="198"/>
      <c r="BV38" s="198"/>
      <c r="BW38" s="198"/>
      <c r="BX38" s="198"/>
    </row>
    <row r="39" spans="4:76" x14ac:dyDescent="0.25">
      <c r="AT39" s="191" t="s">
        <v>37</v>
      </c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5"/>
      <c r="BJ39" s="198">
        <v>1</v>
      </c>
      <c r="BK39" s="198"/>
      <c r="BL39" s="198"/>
      <c r="BM39" s="198"/>
      <c r="BN39" s="198"/>
      <c r="BO39" s="198"/>
      <c r="BP39" s="198"/>
      <c r="BQ39" s="198"/>
      <c r="BR39" s="198"/>
      <c r="BS39" s="198"/>
      <c r="BT39" s="198"/>
      <c r="BU39" s="198"/>
      <c r="BV39" s="198"/>
      <c r="BW39" s="198"/>
      <c r="BX39" s="198"/>
    </row>
    <row r="40" spans="4:76" x14ac:dyDescent="0.25">
      <c r="AT40" s="191" t="s">
        <v>39</v>
      </c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5"/>
      <c r="BJ40" s="198">
        <v>1</v>
      </c>
      <c r="BK40" s="198"/>
      <c r="BL40" s="198"/>
      <c r="BM40" s="198"/>
      <c r="BN40" s="198"/>
      <c r="BO40" s="198"/>
      <c r="BP40" s="198"/>
      <c r="BQ40" s="198"/>
      <c r="BR40" s="198"/>
      <c r="BS40" s="198"/>
      <c r="BT40" s="198"/>
      <c r="BU40" s="198"/>
      <c r="BV40" s="198"/>
      <c r="BW40" s="198"/>
      <c r="BX40" s="198"/>
    </row>
    <row r="41" spans="4:76" x14ac:dyDescent="0.25">
      <c r="AT41" s="191" t="s">
        <v>44</v>
      </c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5"/>
      <c r="BJ41" s="198" t="s">
        <v>45</v>
      </c>
      <c r="BK41" s="198"/>
      <c r="BL41" s="198"/>
      <c r="BM41" s="198"/>
      <c r="BN41" s="198"/>
      <c r="BO41" s="198"/>
      <c r="BP41" s="198"/>
      <c r="BQ41" s="198"/>
      <c r="BR41" s="198"/>
      <c r="BS41" s="198"/>
      <c r="BT41" s="198"/>
      <c r="BU41" s="198"/>
      <c r="BV41" s="198"/>
      <c r="BW41" s="198"/>
      <c r="BX41" s="198"/>
    </row>
  </sheetData>
  <mergeCells count="66">
    <mergeCell ref="AT41:BI41"/>
    <mergeCell ref="BJ41:BX41"/>
    <mergeCell ref="BJ29:BX29"/>
    <mergeCell ref="BJ28:BX28"/>
    <mergeCell ref="AT40:BI40"/>
    <mergeCell ref="BJ40:BX40"/>
    <mergeCell ref="AT39:BI39"/>
    <mergeCell ref="BJ39:BX39"/>
    <mergeCell ref="BJ35:BX35"/>
    <mergeCell ref="BJ33:BX33"/>
    <mergeCell ref="BJ32:BX32"/>
    <mergeCell ref="BJ31:BX31"/>
    <mergeCell ref="BJ30:BX30"/>
    <mergeCell ref="AT38:BI38"/>
    <mergeCell ref="BJ38:BX38"/>
    <mergeCell ref="AT36:BI36"/>
    <mergeCell ref="AT37:BI37"/>
    <mergeCell ref="BJ37:BX37"/>
    <mergeCell ref="BJ36:BX36"/>
    <mergeCell ref="R36:T36"/>
    <mergeCell ref="J36:Q36"/>
    <mergeCell ref="G36:I36"/>
    <mergeCell ref="B1:BW1"/>
    <mergeCell ref="B2:BW2"/>
    <mergeCell ref="AT28:BI28"/>
    <mergeCell ref="AT29:BI29"/>
    <mergeCell ref="AT30:BI30"/>
    <mergeCell ref="AT31:BI31"/>
    <mergeCell ref="AT32:BI32"/>
    <mergeCell ref="AT33:BI33"/>
    <mergeCell ref="AT34:BI34"/>
    <mergeCell ref="AT35:BI35"/>
    <mergeCell ref="BL26:BP26"/>
    <mergeCell ref="BH26:BK26"/>
    <mergeCell ref="BJ34:BX34"/>
    <mergeCell ref="D33:E34"/>
    <mergeCell ref="D31:E32"/>
    <mergeCell ref="CB7:CF7"/>
    <mergeCell ref="CB18:CF18"/>
    <mergeCell ref="BI25:BP25"/>
    <mergeCell ref="BA19:BR19"/>
    <mergeCell ref="BU22:BW23"/>
    <mergeCell ref="BU21:BW21"/>
    <mergeCell ref="BQ25:BS25"/>
    <mergeCell ref="BF25:BH25"/>
    <mergeCell ref="H19:Y19"/>
    <mergeCell ref="Z19:AY19"/>
    <mergeCell ref="AV21:AX22"/>
    <mergeCell ref="AO27:AQ27"/>
    <mergeCell ref="D22:E30"/>
    <mergeCell ref="U30:W31"/>
    <mergeCell ref="M30:Q30"/>
    <mergeCell ref="I23:Y23"/>
    <mergeCell ref="Z23:AC23"/>
    <mergeCell ref="AD34:AQ34"/>
    <mergeCell ref="AD33:AQ33"/>
    <mergeCell ref="AI23:AM23"/>
    <mergeCell ref="AI24:AM24"/>
    <mergeCell ref="U28:X28"/>
    <mergeCell ref="U29:X29"/>
    <mergeCell ref="I24:Y24"/>
    <mergeCell ref="Z24:AC24"/>
    <mergeCell ref="I25:Y25"/>
    <mergeCell ref="I26:Y26"/>
    <mergeCell ref="Z25:AC25"/>
    <mergeCell ref="Z26:AC26"/>
  </mergeCells>
  <conditionalFormatting sqref="BI25">
    <cfRule type="cellIs" dxfId="0" priority="5" operator="greaterThan">
      <formula>$BL$26</formula>
    </cfRule>
  </conditionalFormatting>
  <dataValidations count="4">
    <dataValidation type="list" allowBlank="1" showInputMessage="1" showErrorMessage="1" sqref="BJ30:BO30" xr:uid="{00000000-0002-0000-0300-000000000000}">
      <formula1>"Trong,Ngoài"</formula1>
    </dataValidation>
    <dataValidation type="list" allowBlank="1" showInputMessage="1" showErrorMessage="1" sqref="BJ41:BX41" xr:uid="{00000000-0002-0000-0300-000001000000}">
      <formula1>"Tim - Tim,Mép - Mép"</formula1>
    </dataValidation>
    <dataValidation type="list" allowBlank="1" showInputMessage="1" showErrorMessage="1" sqref="Z23:AC26" xr:uid="{00000000-0002-0000-0300-000002000000}">
      <formula1>"Yes,No"</formula1>
    </dataValidation>
    <dataValidation type="list" allowBlank="1" showInputMessage="1" showErrorMessage="1" sqref="BJ37:BX37" xr:uid="{00000000-0002-0000-0300-000003000000}">
      <formula1>"2 lớp,2 lớp Console,1 lớp - gia cường gối"</formula1>
    </dataValidation>
  </dataValidations>
  <pageMargins left="0.7" right="0.7" top="0.75" bottom="0.75" header="0.3" footer="0.3"/>
  <pageSetup orientation="portrait" r:id="rId1"/>
  <ignoredErrors>
    <ignoredError sqref="M30" numberStoredAsText="1"/>
    <ignoredError sqref="AV21" unlockedFormula="1"/>
  </ignoredError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D147C-F154-4575-85C4-7C0A858D73AF}">
  <sheetPr codeName="Sheet4"/>
  <dimension ref="A1:AQ126"/>
  <sheetViews>
    <sheetView topLeftCell="A13" zoomScale="85" zoomScaleNormal="85" workbookViewId="0">
      <selection activeCell="D39" sqref="D39:E39"/>
    </sheetView>
  </sheetViews>
  <sheetFormatPr defaultColWidth="8.85546875" defaultRowHeight="12.75" x14ac:dyDescent="0.25"/>
  <cols>
    <col min="1" max="8" width="8.85546875" style="69"/>
    <col min="9" max="10" width="8.85546875" style="120"/>
    <col min="11" max="14" width="8.85546875" style="69"/>
    <col min="15" max="26" width="8.85546875" style="69" customWidth="1"/>
    <col min="27" max="16384" width="8.85546875" style="69"/>
  </cols>
  <sheetData>
    <row r="1" spans="1:43" ht="15.75" x14ac:dyDescent="0.25">
      <c r="A1" s="239" t="s">
        <v>164</v>
      </c>
      <c r="B1" s="239"/>
      <c r="C1" s="239"/>
      <c r="D1" s="239"/>
      <c r="E1" s="239"/>
      <c r="F1" s="239"/>
      <c r="I1" s="240" t="s">
        <v>165</v>
      </c>
      <c r="J1" s="240"/>
      <c r="K1" s="240"/>
      <c r="L1" s="240"/>
      <c r="N1" s="70"/>
      <c r="O1" s="70"/>
      <c r="P1" s="70"/>
      <c r="Q1" s="70"/>
      <c r="R1" s="70"/>
    </row>
    <row r="2" spans="1:43" ht="17.25" x14ac:dyDescent="0.2">
      <c r="A2" s="241" t="s">
        <v>166</v>
      </c>
      <c r="B2" s="241"/>
      <c r="C2" s="241"/>
      <c r="D2" s="241"/>
      <c r="E2" s="241"/>
      <c r="F2" s="242" t="s">
        <v>167</v>
      </c>
      <c r="G2" s="243"/>
      <c r="H2" s="71"/>
      <c r="I2" s="72" t="s">
        <v>168</v>
      </c>
      <c r="J2" s="73">
        <v>6</v>
      </c>
      <c r="K2" s="73">
        <v>8</v>
      </c>
      <c r="L2" s="74">
        <v>10</v>
      </c>
      <c r="M2" s="73">
        <v>12</v>
      </c>
      <c r="N2" s="73">
        <v>14</v>
      </c>
      <c r="O2" s="70"/>
      <c r="P2" s="70"/>
      <c r="Q2" s="70"/>
      <c r="R2" s="70"/>
      <c r="AA2" s="75"/>
      <c r="AB2" s="75"/>
      <c r="AC2" s="75"/>
      <c r="AD2" s="75"/>
      <c r="AE2" s="75"/>
      <c r="AF2" s="75"/>
      <c r="AG2" s="75"/>
      <c r="AH2" s="75"/>
      <c r="AI2" s="76"/>
      <c r="AJ2" s="76"/>
      <c r="AK2" s="76"/>
      <c r="AL2" s="76"/>
      <c r="AM2" s="76"/>
      <c r="AN2" s="76"/>
      <c r="AO2" s="76"/>
      <c r="AP2" s="76"/>
      <c r="AQ2" s="77"/>
    </row>
    <row r="3" spans="1:43" ht="15.75" x14ac:dyDescent="0.25">
      <c r="A3" s="78" t="s">
        <v>169</v>
      </c>
      <c r="B3" s="78" t="s">
        <v>170</v>
      </c>
      <c r="C3" s="78" t="s">
        <v>171</v>
      </c>
      <c r="D3" s="78" t="s">
        <v>172</v>
      </c>
      <c r="E3" s="78" t="s">
        <v>173</v>
      </c>
      <c r="F3" s="78" t="s">
        <v>174</v>
      </c>
      <c r="G3" s="78" t="s">
        <v>175</v>
      </c>
      <c r="I3" s="79">
        <v>70</v>
      </c>
      <c r="J3" s="79">
        <f>ROUND(10^3*3.1416*$J$2^2/(4*I3*10^2),2)</f>
        <v>4.04</v>
      </c>
      <c r="K3" s="80">
        <f>ROUND(10^3*3.1416*$K$2^2/(4*I3*10^2),2)</f>
        <v>7.18</v>
      </c>
      <c r="L3" s="80">
        <f>ROUND(10^3*3.1416*$L$2^2/(4*I3*10^2),2)</f>
        <v>11.22</v>
      </c>
      <c r="M3" s="79">
        <f>ROUND(10^3*3.1416*$M$2^2/(4*I3*10^2),2)</f>
        <v>16.16</v>
      </c>
      <c r="N3" s="79">
        <f>ROUND(10^3*3.1416*$N$2^2/(4*I3*10^2),2)</f>
        <v>21.99</v>
      </c>
      <c r="O3" s="81"/>
      <c r="AA3" s="82" t="s">
        <v>176</v>
      </c>
      <c r="AB3" s="83"/>
      <c r="AC3" s="83"/>
      <c r="AD3" s="83"/>
      <c r="AE3" s="83"/>
      <c r="AF3" s="83"/>
      <c r="AG3" s="83"/>
      <c r="AH3" s="83"/>
      <c r="AI3" s="83"/>
      <c r="AJ3" s="84"/>
      <c r="AK3" s="85" t="s">
        <v>177</v>
      </c>
      <c r="AL3" s="83"/>
      <c r="AM3" s="83"/>
      <c r="AN3" s="83"/>
      <c r="AO3" s="83"/>
      <c r="AP3" s="83"/>
      <c r="AQ3" s="76"/>
    </row>
    <row r="4" spans="1:43" ht="63.75" x14ac:dyDescent="0.25">
      <c r="A4" s="86">
        <v>1</v>
      </c>
      <c r="B4" s="87">
        <v>1.7899999999999999E-2</v>
      </c>
      <c r="C4" s="88">
        <v>1.7899999999999999E-2</v>
      </c>
      <c r="D4" s="87">
        <v>4.1700000000000001E-2</v>
      </c>
      <c r="E4" s="89">
        <v>4.1700000000000001E-2</v>
      </c>
      <c r="F4" s="89">
        <v>3.6499999999999998E-2</v>
      </c>
      <c r="G4" s="89">
        <v>3.6499999999999998E-2</v>
      </c>
      <c r="I4" s="79">
        <f>I3+10</f>
        <v>80</v>
      </c>
      <c r="J4" s="79">
        <f t="shared" ref="J4:J16" si="0">ROUND(10^3*3.1416*$J$2^2/(4*I4*10^2),2)</f>
        <v>3.53</v>
      </c>
      <c r="K4" s="80">
        <f t="shared" ref="K4:K16" si="1">ROUND(10^3*3.1416*$K$2^2/(4*I4*10^2),2)</f>
        <v>6.28</v>
      </c>
      <c r="L4" s="80">
        <f t="shared" ref="L4:L16" si="2">ROUND(10^3*3.1416*$L$2^2/(4*I4*10^2),2)</f>
        <v>9.82</v>
      </c>
      <c r="M4" s="79">
        <f t="shared" ref="M4:M16" si="3">ROUND(10^3*3.1416*$M$2^2/(4*I4*10^2),2)</f>
        <v>14.14</v>
      </c>
      <c r="N4" s="79">
        <f t="shared" ref="N4:N16" si="4">ROUND(10^3*3.1416*$N$2^2/(4*I4*10^2),2)</f>
        <v>19.239999999999998</v>
      </c>
      <c r="O4" s="81"/>
      <c r="AA4" s="238" t="s">
        <v>178</v>
      </c>
      <c r="AB4" s="238"/>
      <c r="AC4" s="238"/>
      <c r="AD4" s="238"/>
      <c r="AE4" s="91" t="s">
        <v>179</v>
      </c>
      <c r="AF4" s="91" t="s">
        <v>180</v>
      </c>
      <c r="AG4" s="91" t="s">
        <v>181</v>
      </c>
      <c r="AH4" s="91"/>
      <c r="AI4" s="91"/>
      <c r="AJ4" s="84"/>
      <c r="AK4" s="92" t="s">
        <v>182</v>
      </c>
      <c r="AL4" s="92" t="s">
        <v>183</v>
      </c>
      <c r="AM4" s="92" t="s">
        <v>184</v>
      </c>
      <c r="AN4" s="92" t="s">
        <v>185</v>
      </c>
      <c r="AO4" s="92" t="s">
        <v>186</v>
      </c>
      <c r="AP4" s="92" t="s">
        <v>187</v>
      </c>
      <c r="AQ4" s="92" t="s">
        <v>188</v>
      </c>
    </row>
    <row r="5" spans="1:43" ht="15.75" x14ac:dyDescent="0.25">
      <c r="A5" s="86">
        <f>A4+0.05</f>
        <v>1.05</v>
      </c>
      <c r="B5" s="93">
        <v>1.8700000000000001E-2</v>
      </c>
      <c r="C5" s="88">
        <v>1.7100000000000001E-2</v>
      </c>
      <c r="D5" s="93">
        <v>4.3700000000000003E-2</v>
      </c>
      <c r="E5" s="89">
        <v>3.9399999999999998E-2</v>
      </c>
      <c r="F5" s="89">
        <v>3.8399999999999997E-2</v>
      </c>
      <c r="G5" s="89">
        <v>3.4099999999999998E-2</v>
      </c>
      <c r="I5" s="79">
        <f t="shared" ref="I5:I16" si="5">I4+10</f>
        <v>90</v>
      </c>
      <c r="J5" s="79">
        <f t="shared" si="0"/>
        <v>3.14</v>
      </c>
      <c r="K5" s="80">
        <f t="shared" si="1"/>
        <v>5.59</v>
      </c>
      <c r="L5" s="80">
        <f t="shared" si="2"/>
        <v>8.73</v>
      </c>
      <c r="M5" s="79">
        <f t="shared" si="3"/>
        <v>12.57</v>
      </c>
      <c r="N5" s="79">
        <f t="shared" si="4"/>
        <v>17.100000000000001</v>
      </c>
      <c r="O5" s="81"/>
      <c r="AA5" s="238" t="s">
        <v>189</v>
      </c>
      <c r="AB5" s="238"/>
      <c r="AC5" s="238"/>
      <c r="AD5" s="238"/>
      <c r="AE5" s="90" t="s">
        <v>190</v>
      </c>
      <c r="AF5" s="90" t="s">
        <v>191</v>
      </c>
      <c r="AG5" s="90" t="s">
        <v>192</v>
      </c>
      <c r="AH5" s="90" t="s">
        <v>193</v>
      </c>
      <c r="AI5" s="90" t="s">
        <v>194</v>
      </c>
      <c r="AJ5" s="84"/>
      <c r="AK5" s="94" t="s">
        <v>59</v>
      </c>
      <c r="AL5" s="95">
        <v>345</v>
      </c>
      <c r="AM5" s="95">
        <f t="shared" ref="AM5:AM11" si="6">AL5</f>
        <v>345</v>
      </c>
      <c r="AN5" s="95">
        <v>200000</v>
      </c>
      <c r="AO5" s="95">
        <v>1.1499999999999999</v>
      </c>
      <c r="AP5" s="95">
        <v>390</v>
      </c>
      <c r="AQ5" s="96">
        <v>280</v>
      </c>
    </row>
    <row r="6" spans="1:43" ht="15.75" x14ac:dyDescent="0.25">
      <c r="A6" s="86">
        <f t="shared" ref="A6:A24" si="7">A5+0.05</f>
        <v>1.1000000000000001</v>
      </c>
      <c r="B6" s="93">
        <v>1.9400000000000001E-2</v>
      </c>
      <c r="C6" s="88">
        <v>1.61E-2</v>
      </c>
      <c r="D6" s="93">
        <v>4.4999999999999998E-2</v>
      </c>
      <c r="E6" s="89">
        <v>3.7199999999999997E-2</v>
      </c>
      <c r="F6" s="89">
        <v>3.9899999999999998E-2</v>
      </c>
      <c r="G6" s="89">
        <v>3.3000000000000002E-2</v>
      </c>
      <c r="I6" s="79">
        <f t="shared" si="5"/>
        <v>100</v>
      </c>
      <c r="J6" s="79">
        <f t="shared" si="0"/>
        <v>2.83</v>
      </c>
      <c r="K6" s="80">
        <f t="shared" si="1"/>
        <v>5.03</v>
      </c>
      <c r="L6" s="80">
        <f t="shared" si="2"/>
        <v>7.85</v>
      </c>
      <c r="M6" s="79">
        <f t="shared" si="3"/>
        <v>11.31</v>
      </c>
      <c r="N6" s="79">
        <f t="shared" si="4"/>
        <v>15.39</v>
      </c>
      <c r="O6" s="81"/>
      <c r="AA6" s="229" t="s">
        <v>195</v>
      </c>
      <c r="AB6" s="97" t="s">
        <v>196</v>
      </c>
      <c r="AC6" s="97" t="s">
        <v>197</v>
      </c>
      <c r="AD6" s="98" t="s">
        <v>198</v>
      </c>
      <c r="AE6" s="99">
        <v>2.1</v>
      </c>
      <c r="AF6" s="99">
        <v>0.26</v>
      </c>
      <c r="AG6" s="100">
        <v>9500</v>
      </c>
      <c r="AH6" s="99">
        <v>3.5</v>
      </c>
      <c r="AI6" s="99">
        <v>2.8</v>
      </c>
      <c r="AJ6" s="84"/>
      <c r="AK6" s="94" t="s">
        <v>60</v>
      </c>
      <c r="AL6" s="95">
        <v>421</v>
      </c>
      <c r="AM6" s="95">
        <f t="shared" si="6"/>
        <v>421</v>
      </c>
      <c r="AN6" s="95">
        <v>190000</v>
      </c>
      <c r="AO6" s="95">
        <v>1.1599999999999999</v>
      </c>
      <c r="AP6" s="95">
        <v>490</v>
      </c>
      <c r="AQ6" s="96">
        <v>300</v>
      </c>
    </row>
    <row r="7" spans="1:43" ht="15.75" x14ac:dyDescent="0.25">
      <c r="A7" s="86">
        <f t="shared" si="7"/>
        <v>1.1500000000000001</v>
      </c>
      <c r="B7" s="93">
        <v>0.02</v>
      </c>
      <c r="C7" s="88">
        <v>1.4999999999999999E-2</v>
      </c>
      <c r="D7" s="93">
        <v>4.6100000000000002E-2</v>
      </c>
      <c r="E7" s="89">
        <v>3.49E-2</v>
      </c>
      <c r="F7" s="89">
        <v>4.1399999999999999E-2</v>
      </c>
      <c r="G7" s="89">
        <v>3.1399999999999997E-2</v>
      </c>
      <c r="I7" s="79">
        <f t="shared" si="5"/>
        <v>110</v>
      </c>
      <c r="J7" s="79">
        <f t="shared" si="0"/>
        <v>2.57</v>
      </c>
      <c r="K7" s="80">
        <f t="shared" si="1"/>
        <v>4.57</v>
      </c>
      <c r="L7" s="80">
        <f t="shared" si="2"/>
        <v>7.14</v>
      </c>
      <c r="M7" s="79">
        <f t="shared" si="3"/>
        <v>10.28</v>
      </c>
      <c r="N7" s="79">
        <f t="shared" si="4"/>
        <v>13.99</v>
      </c>
      <c r="O7" s="81"/>
      <c r="AA7" s="230"/>
      <c r="AB7" s="97" t="s">
        <v>199</v>
      </c>
      <c r="AC7" s="97" t="s">
        <v>200</v>
      </c>
      <c r="AD7" s="98" t="s">
        <v>201</v>
      </c>
      <c r="AE7" s="99">
        <v>2.8</v>
      </c>
      <c r="AF7" s="99">
        <v>0.37</v>
      </c>
      <c r="AG7" s="100">
        <v>13000</v>
      </c>
      <c r="AH7" s="99">
        <v>5</v>
      </c>
      <c r="AI7" s="99">
        <v>4</v>
      </c>
      <c r="AJ7" s="84"/>
      <c r="AK7" s="94" t="s">
        <v>202</v>
      </c>
      <c r="AL7" s="95">
        <v>213.6</v>
      </c>
      <c r="AM7" s="95">
        <f t="shared" si="6"/>
        <v>213.6</v>
      </c>
      <c r="AN7" s="95">
        <v>210000</v>
      </c>
      <c r="AO7" s="95">
        <v>1.1000000000000001</v>
      </c>
      <c r="AP7" s="95">
        <v>235</v>
      </c>
      <c r="AQ7" s="96">
        <v>170</v>
      </c>
    </row>
    <row r="8" spans="1:43" ht="15.75" x14ac:dyDescent="0.25">
      <c r="A8" s="86">
        <f t="shared" si="7"/>
        <v>1.2000000000000002</v>
      </c>
      <c r="B8" s="93">
        <v>2.0400000000000001E-2</v>
      </c>
      <c r="C8" s="88">
        <v>1.4200000000000001E-2</v>
      </c>
      <c r="D8" s="93">
        <v>4.6800000000000001E-2</v>
      </c>
      <c r="E8" s="89">
        <v>3.2500000000000001E-2</v>
      </c>
      <c r="F8" s="89">
        <v>4.2599999999999999E-2</v>
      </c>
      <c r="G8" s="89">
        <v>2.98E-2</v>
      </c>
      <c r="I8" s="79">
        <f t="shared" si="5"/>
        <v>120</v>
      </c>
      <c r="J8" s="79">
        <f t="shared" si="0"/>
        <v>2.36</v>
      </c>
      <c r="K8" s="80">
        <f t="shared" si="1"/>
        <v>4.1900000000000004</v>
      </c>
      <c r="L8" s="80">
        <f t="shared" si="2"/>
        <v>6.55</v>
      </c>
      <c r="M8" s="79">
        <f t="shared" si="3"/>
        <v>9.42</v>
      </c>
      <c r="N8" s="79">
        <f t="shared" si="4"/>
        <v>12.83</v>
      </c>
      <c r="O8" s="81"/>
      <c r="AA8" s="230"/>
      <c r="AB8" s="97" t="s">
        <v>203</v>
      </c>
      <c r="AC8" s="97" t="s">
        <v>204</v>
      </c>
      <c r="AD8" s="98" t="s">
        <v>205</v>
      </c>
      <c r="AE8" s="99">
        <v>4.5</v>
      </c>
      <c r="AF8" s="99">
        <v>0.48</v>
      </c>
      <c r="AG8" s="100">
        <v>16000</v>
      </c>
      <c r="AH8" s="99">
        <v>7.5</v>
      </c>
      <c r="AI8" s="99">
        <v>6</v>
      </c>
      <c r="AJ8" s="84"/>
      <c r="AK8" s="94" t="s">
        <v>206</v>
      </c>
      <c r="AL8" s="95">
        <v>268</v>
      </c>
      <c r="AM8" s="95">
        <f t="shared" si="6"/>
        <v>268</v>
      </c>
      <c r="AN8" s="95">
        <v>210000</v>
      </c>
      <c r="AO8" s="95">
        <v>1.1000000000000001</v>
      </c>
      <c r="AP8" s="95">
        <v>295</v>
      </c>
      <c r="AQ8" s="96">
        <v>210</v>
      </c>
    </row>
    <row r="9" spans="1:43" ht="15.75" x14ac:dyDescent="0.25">
      <c r="A9" s="86">
        <f t="shared" si="7"/>
        <v>1.2500000000000002</v>
      </c>
      <c r="B9" s="93">
        <v>2.07E-2</v>
      </c>
      <c r="C9" s="88">
        <v>1.3299999999999999E-2</v>
      </c>
      <c r="D9" s="93">
        <v>4.7300000000000002E-2</v>
      </c>
      <c r="E9" s="89">
        <v>3.0300000000000001E-2</v>
      </c>
      <c r="F9" s="89">
        <v>4.3999999999999997E-2</v>
      </c>
      <c r="G9" s="89">
        <v>2.8199999999999999E-2</v>
      </c>
      <c r="I9" s="79">
        <f t="shared" si="5"/>
        <v>130</v>
      </c>
      <c r="J9" s="79">
        <f t="shared" si="0"/>
        <v>2.17</v>
      </c>
      <c r="K9" s="80">
        <f t="shared" si="1"/>
        <v>3.87</v>
      </c>
      <c r="L9" s="80">
        <f t="shared" si="2"/>
        <v>6.04</v>
      </c>
      <c r="M9" s="79">
        <f t="shared" si="3"/>
        <v>8.6999999999999993</v>
      </c>
      <c r="N9" s="79">
        <f t="shared" si="4"/>
        <v>11.84</v>
      </c>
      <c r="O9" s="81"/>
      <c r="AA9" s="230"/>
      <c r="AB9" s="97" t="s">
        <v>207</v>
      </c>
      <c r="AC9" s="97" t="s">
        <v>208</v>
      </c>
      <c r="AD9" s="98" t="s">
        <v>209</v>
      </c>
      <c r="AE9" s="99">
        <v>6</v>
      </c>
      <c r="AF9" s="99">
        <v>0.56999999999999995</v>
      </c>
      <c r="AG9" s="100">
        <v>18000</v>
      </c>
      <c r="AH9" s="99">
        <v>10</v>
      </c>
      <c r="AI9" s="99">
        <v>8</v>
      </c>
      <c r="AJ9" s="84"/>
      <c r="AK9" s="94" t="s">
        <v>210</v>
      </c>
      <c r="AL9" s="95">
        <v>228</v>
      </c>
      <c r="AM9" s="95">
        <f t="shared" si="6"/>
        <v>228</v>
      </c>
      <c r="AN9" s="95">
        <v>210000</v>
      </c>
      <c r="AO9" s="101">
        <v>1.05</v>
      </c>
      <c r="AP9" s="95">
        <v>240</v>
      </c>
      <c r="AQ9" s="96">
        <v>170</v>
      </c>
    </row>
    <row r="10" spans="1:43" ht="15.75" x14ac:dyDescent="0.25">
      <c r="A10" s="86">
        <f t="shared" si="7"/>
        <v>1.3000000000000003</v>
      </c>
      <c r="B10" s="93">
        <v>2.0799999999999999E-2</v>
      </c>
      <c r="C10" s="88">
        <v>1.23E-2</v>
      </c>
      <c r="D10" s="93">
        <v>4.7500000000000001E-2</v>
      </c>
      <c r="E10" s="89">
        <v>2.81E-2</v>
      </c>
      <c r="F10" s="89">
        <v>4.5199999999999997E-2</v>
      </c>
      <c r="G10" s="89">
        <v>2.6800000000000001E-2</v>
      </c>
      <c r="I10" s="79">
        <f t="shared" si="5"/>
        <v>140</v>
      </c>
      <c r="J10" s="79">
        <f t="shared" si="0"/>
        <v>2.02</v>
      </c>
      <c r="K10" s="80">
        <f t="shared" si="1"/>
        <v>3.59</v>
      </c>
      <c r="L10" s="80">
        <f t="shared" si="2"/>
        <v>5.61</v>
      </c>
      <c r="M10" s="79">
        <f t="shared" si="3"/>
        <v>8.08</v>
      </c>
      <c r="N10" s="79">
        <f t="shared" si="4"/>
        <v>11</v>
      </c>
      <c r="O10" s="81"/>
      <c r="AA10" s="230"/>
      <c r="AB10" s="97" t="s">
        <v>211</v>
      </c>
      <c r="AC10" s="97" t="s">
        <v>212</v>
      </c>
      <c r="AD10" s="98" t="s">
        <v>209</v>
      </c>
      <c r="AE10" s="99">
        <v>7.5</v>
      </c>
      <c r="AF10" s="99">
        <v>0.66</v>
      </c>
      <c r="AG10" s="100">
        <v>21000</v>
      </c>
      <c r="AH10" s="99">
        <v>12.5</v>
      </c>
      <c r="AI10" s="99">
        <v>10</v>
      </c>
      <c r="AJ10" s="84"/>
      <c r="AK10" s="94" t="s">
        <v>213</v>
      </c>
      <c r="AL10" s="95">
        <v>285</v>
      </c>
      <c r="AM10" s="95">
        <f t="shared" si="6"/>
        <v>285</v>
      </c>
      <c r="AN10" s="95">
        <v>210000</v>
      </c>
      <c r="AO10" s="101">
        <v>1.05</v>
      </c>
      <c r="AP10" s="95">
        <v>300</v>
      </c>
      <c r="AQ10" s="96">
        <v>210</v>
      </c>
    </row>
    <row r="11" spans="1:43" ht="15.75" x14ac:dyDescent="0.25">
      <c r="A11" s="86">
        <f>A10+0.05</f>
        <v>1.3500000000000003</v>
      </c>
      <c r="B11" s="93">
        <v>2.1000000000000001E-2</v>
      </c>
      <c r="C11" s="88">
        <v>1.15E-2</v>
      </c>
      <c r="D11" s="93">
        <v>4.7399999999999998E-2</v>
      </c>
      <c r="E11" s="89">
        <v>2.6200000000000001E-2</v>
      </c>
      <c r="F11" s="89">
        <v>4.6100000000000002E-2</v>
      </c>
      <c r="G11" s="89">
        <v>2.53E-2</v>
      </c>
      <c r="I11" s="79">
        <f t="shared" si="5"/>
        <v>150</v>
      </c>
      <c r="J11" s="79">
        <f t="shared" si="0"/>
        <v>1.88</v>
      </c>
      <c r="K11" s="80">
        <f t="shared" si="1"/>
        <v>3.35</v>
      </c>
      <c r="L11" s="80">
        <f t="shared" si="2"/>
        <v>5.24</v>
      </c>
      <c r="M11" s="79">
        <f t="shared" si="3"/>
        <v>7.54</v>
      </c>
      <c r="N11" s="79">
        <f t="shared" si="4"/>
        <v>10.26</v>
      </c>
      <c r="O11" s="81"/>
      <c r="AA11" s="230"/>
      <c r="AB11" s="97" t="s">
        <v>132</v>
      </c>
      <c r="AC11" s="97" t="s">
        <v>214</v>
      </c>
      <c r="AD11" s="98" t="s">
        <v>215</v>
      </c>
      <c r="AE11" s="99">
        <v>8.5</v>
      </c>
      <c r="AF11" s="99">
        <v>0.75</v>
      </c>
      <c r="AG11" s="100">
        <v>23000</v>
      </c>
      <c r="AH11" s="99">
        <v>15</v>
      </c>
      <c r="AI11" s="99">
        <v>12</v>
      </c>
      <c r="AJ11" s="84"/>
      <c r="AK11" s="94" t="s">
        <v>216</v>
      </c>
      <c r="AL11" s="95">
        <v>373</v>
      </c>
      <c r="AM11" s="95">
        <f t="shared" si="6"/>
        <v>373</v>
      </c>
      <c r="AN11" s="95">
        <v>200000</v>
      </c>
      <c r="AO11" s="101">
        <v>1.07</v>
      </c>
      <c r="AP11" s="95">
        <v>400</v>
      </c>
      <c r="AQ11" s="96">
        <v>280</v>
      </c>
    </row>
    <row r="12" spans="1:43" ht="15.75" x14ac:dyDescent="0.25">
      <c r="A12" s="86">
        <f t="shared" si="7"/>
        <v>1.4000000000000004</v>
      </c>
      <c r="B12" s="93">
        <v>2.1000000000000001E-2</v>
      </c>
      <c r="C12" s="88">
        <v>1.0699999999999999E-2</v>
      </c>
      <c r="D12" s="93">
        <v>4.7300000000000002E-2</v>
      </c>
      <c r="E12" s="89">
        <v>2.4E-2</v>
      </c>
      <c r="F12" s="89">
        <v>4.6899999999999997E-2</v>
      </c>
      <c r="G12" s="89">
        <v>2.4E-2</v>
      </c>
      <c r="I12" s="79">
        <f t="shared" si="5"/>
        <v>160</v>
      </c>
      <c r="J12" s="79">
        <f t="shared" si="0"/>
        <v>1.77</v>
      </c>
      <c r="K12" s="80">
        <f t="shared" si="1"/>
        <v>3.14</v>
      </c>
      <c r="L12" s="80">
        <f t="shared" si="2"/>
        <v>4.91</v>
      </c>
      <c r="M12" s="79">
        <f t="shared" si="3"/>
        <v>7.07</v>
      </c>
      <c r="N12" s="79">
        <f t="shared" si="4"/>
        <v>9.6199999999999992</v>
      </c>
      <c r="O12" s="70"/>
      <c r="P12" s="70"/>
      <c r="Q12" s="70"/>
      <c r="R12" s="70"/>
      <c r="AA12" s="230"/>
      <c r="AB12" s="97" t="s">
        <v>217</v>
      </c>
      <c r="AC12" s="97" t="s">
        <v>218</v>
      </c>
      <c r="AD12" s="98" t="s">
        <v>219</v>
      </c>
      <c r="AE12" s="99">
        <v>11.5</v>
      </c>
      <c r="AF12" s="99">
        <v>0.9</v>
      </c>
      <c r="AG12" s="100">
        <v>27000</v>
      </c>
      <c r="AH12" s="99">
        <v>20</v>
      </c>
      <c r="AI12" s="99">
        <v>16</v>
      </c>
      <c r="AJ12" s="84"/>
      <c r="AK12" s="94" t="s">
        <v>220</v>
      </c>
      <c r="AL12" s="95">
        <v>434</v>
      </c>
      <c r="AM12" s="101">
        <v>450</v>
      </c>
      <c r="AN12" s="95">
        <v>190000</v>
      </c>
      <c r="AO12" s="101">
        <v>1.1499999999999999</v>
      </c>
      <c r="AP12" s="95">
        <v>500</v>
      </c>
      <c r="AQ12" s="96">
        <v>300</v>
      </c>
    </row>
    <row r="13" spans="1:43" ht="15.75" x14ac:dyDescent="0.25">
      <c r="A13" s="86">
        <f t="shared" si="7"/>
        <v>1.4500000000000004</v>
      </c>
      <c r="B13" s="93">
        <v>2.0899999999999998E-2</v>
      </c>
      <c r="C13" s="88">
        <v>0.01</v>
      </c>
      <c r="D13" s="93">
        <v>4.6899999999999997E-2</v>
      </c>
      <c r="E13" s="89">
        <v>2.23E-2</v>
      </c>
      <c r="F13" s="89">
        <v>4.7500000000000001E-2</v>
      </c>
      <c r="G13" s="89">
        <v>2.2499999999999999E-2</v>
      </c>
      <c r="I13" s="79">
        <f t="shared" si="5"/>
        <v>170</v>
      </c>
      <c r="J13" s="79">
        <f t="shared" si="0"/>
        <v>1.66</v>
      </c>
      <c r="K13" s="80">
        <f t="shared" si="1"/>
        <v>2.96</v>
      </c>
      <c r="L13" s="80">
        <f t="shared" si="2"/>
        <v>4.62</v>
      </c>
      <c r="M13" s="79">
        <f t="shared" si="3"/>
        <v>6.65</v>
      </c>
      <c r="N13" s="79">
        <f t="shared" si="4"/>
        <v>9.06</v>
      </c>
      <c r="AA13" s="230"/>
      <c r="AB13" s="102" t="s">
        <v>221</v>
      </c>
      <c r="AC13" s="102" t="s">
        <v>222</v>
      </c>
      <c r="AD13" s="103" t="s">
        <v>223</v>
      </c>
      <c r="AE13" s="104">
        <v>13</v>
      </c>
      <c r="AF13" s="104">
        <v>1</v>
      </c>
      <c r="AG13" s="105">
        <v>28000</v>
      </c>
      <c r="AH13" s="104">
        <v>22.5</v>
      </c>
      <c r="AI13" s="104">
        <v>18</v>
      </c>
      <c r="AJ13" s="84"/>
      <c r="AK13" s="94" t="s">
        <v>224</v>
      </c>
      <c r="AL13" s="95">
        <v>225</v>
      </c>
      <c r="AM13" s="95">
        <f>AL13</f>
        <v>225</v>
      </c>
      <c r="AN13" s="95">
        <v>210000</v>
      </c>
      <c r="AO13" s="95">
        <v>1.05</v>
      </c>
      <c r="AP13" s="95">
        <v>235</v>
      </c>
      <c r="AQ13" s="96">
        <v>170</v>
      </c>
    </row>
    <row r="14" spans="1:43" ht="15.75" x14ac:dyDescent="0.25">
      <c r="A14" s="86">
        <f t="shared" si="7"/>
        <v>1.5000000000000004</v>
      </c>
      <c r="B14" s="93">
        <v>2.0799999999999999E-2</v>
      </c>
      <c r="C14" s="88">
        <v>9.2999999999999992E-3</v>
      </c>
      <c r="D14" s="93">
        <v>4.6399999999999997E-2</v>
      </c>
      <c r="E14" s="89">
        <v>2.06E-2</v>
      </c>
      <c r="F14" s="89">
        <v>4.8000000000000001E-2</v>
      </c>
      <c r="G14" s="89">
        <v>2.1399999999999999E-2</v>
      </c>
      <c r="I14" s="79">
        <f t="shared" si="5"/>
        <v>180</v>
      </c>
      <c r="J14" s="79">
        <f t="shared" si="0"/>
        <v>1.57</v>
      </c>
      <c r="K14" s="80">
        <f t="shared" si="1"/>
        <v>2.79</v>
      </c>
      <c r="L14" s="80">
        <f t="shared" si="2"/>
        <v>4.3600000000000003</v>
      </c>
      <c r="M14" s="79">
        <f t="shared" si="3"/>
        <v>6.28</v>
      </c>
      <c r="N14" s="79">
        <f t="shared" si="4"/>
        <v>8.5500000000000007</v>
      </c>
      <c r="AA14" s="230"/>
      <c r="AB14" s="97" t="s">
        <v>225</v>
      </c>
      <c r="AC14" s="97" t="s">
        <v>226</v>
      </c>
      <c r="AD14" s="98" t="s">
        <v>227</v>
      </c>
      <c r="AE14" s="99">
        <v>14.5</v>
      </c>
      <c r="AF14" s="99">
        <v>1.05</v>
      </c>
      <c r="AG14" s="100">
        <v>30000</v>
      </c>
      <c r="AH14" s="99">
        <v>25</v>
      </c>
      <c r="AI14" s="99">
        <v>20</v>
      </c>
      <c r="AJ14" s="84"/>
      <c r="AK14" s="94" t="s">
        <v>228</v>
      </c>
      <c r="AL14" s="95">
        <v>280</v>
      </c>
      <c r="AM14" s="95">
        <f>AL14</f>
        <v>280</v>
      </c>
      <c r="AN14" s="95">
        <v>210000</v>
      </c>
      <c r="AO14" s="95">
        <v>1.05</v>
      </c>
      <c r="AP14" s="95">
        <v>295</v>
      </c>
      <c r="AQ14" s="96">
        <v>210</v>
      </c>
    </row>
    <row r="15" spans="1:43" ht="15.75" x14ac:dyDescent="0.25">
      <c r="A15" s="86">
        <f>A14+0.05</f>
        <v>1.5500000000000005</v>
      </c>
      <c r="B15" s="93">
        <v>2.06E-2</v>
      </c>
      <c r="C15" s="88">
        <v>8.6E-3</v>
      </c>
      <c r="D15" s="93">
        <v>4.5900000000000003E-2</v>
      </c>
      <c r="E15" s="89">
        <v>1.9099999999999999E-2</v>
      </c>
      <c r="F15" s="89">
        <v>4.8399999999999999E-2</v>
      </c>
      <c r="G15" s="89">
        <v>2.01E-2</v>
      </c>
      <c r="I15" s="79">
        <f t="shared" si="5"/>
        <v>190</v>
      </c>
      <c r="J15" s="79">
        <f t="shared" si="0"/>
        <v>1.49</v>
      </c>
      <c r="K15" s="80">
        <f t="shared" si="1"/>
        <v>2.65</v>
      </c>
      <c r="L15" s="80">
        <f t="shared" si="2"/>
        <v>4.13</v>
      </c>
      <c r="M15" s="79">
        <f t="shared" si="3"/>
        <v>5.95</v>
      </c>
      <c r="N15" s="79">
        <f t="shared" si="4"/>
        <v>8.1</v>
      </c>
      <c r="U15" s="69" t="s">
        <v>229</v>
      </c>
      <c r="AA15" s="230"/>
      <c r="AB15" s="97" t="s">
        <v>230</v>
      </c>
      <c r="AC15" s="97" t="s">
        <v>231</v>
      </c>
      <c r="AD15" s="98" t="s">
        <v>232</v>
      </c>
      <c r="AE15" s="99">
        <v>17</v>
      </c>
      <c r="AF15" s="99">
        <v>1.2</v>
      </c>
      <c r="AG15" s="100">
        <v>32500</v>
      </c>
      <c r="AH15" s="99">
        <v>30</v>
      </c>
      <c r="AI15" s="99">
        <v>24</v>
      </c>
      <c r="AJ15" s="84"/>
      <c r="AK15" s="94" t="s">
        <v>233</v>
      </c>
      <c r="AL15" s="95">
        <v>365</v>
      </c>
      <c r="AM15" s="95">
        <f>AL15</f>
        <v>365</v>
      </c>
      <c r="AN15" s="95">
        <v>200000</v>
      </c>
      <c r="AO15" s="95">
        <v>1.07</v>
      </c>
      <c r="AP15" s="95">
        <v>390</v>
      </c>
      <c r="AQ15" s="96">
        <v>280</v>
      </c>
    </row>
    <row r="16" spans="1:43" ht="15.75" x14ac:dyDescent="0.25">
      <c r="A16" s="106">
        <f t="shared" si="7"/>
        <v>1.6000000000000005</v>
      </c>
      <c r="B16" s="107">
        <v>2.0500000000000001E-2</v>
      </c>
      <c r="C16" s="108">
        <v>8.0000000000000002E-3</v>
      </c>
      <c r="D16" s="107">
        <v>4.5199999999999997E-2</v>
      </c>
      <c r="E16" s="109">
        <v>1.77E-2</v>
      </c>
      <c r="F16" s="89">
        <v>4.8500000000000001E-2</v>
      </c>
      <c r="G16" s="89">
        <v>1.89E-2</v>
      </c>
      <c r="I16" s="79">
        <f t="shared" si="5"/>
        <v>200</v>
      </c>
      <c r="J16" s="79">
        <f t="shared" si="0"/>
        <v>1.41</v>
      </c>
      <c r="K16" s="80">
        <f t="shared" si="1"/>
        <v>2.5099999999999998</v>
      </c>
      <c r="L16" s="80">
        <f t="shared" si="2"/>
        <v>3.93</v>
      </c>
      <c r="M16" s="79">
        <f t="shared" si="3"/>
        <v>5.65</v>
      </c>
      <c r="N16" s="79">
        <f t="shared" si="4"/>
        <v>7.7</v>
      </c>
      <c r="U16" s="69" t="s">
        <v>234</v>
      </c>
      <c r="AA16" s="230"/>
      <c r="AB16" s="97" t="s">
        <v>235</v>
      </c>
      <c r="AC16" s="97" t="s">
        <v>236</v>
      </c>
      <c r="AD16" s="98" t="s">
        <v>237</v>
      </c>
      <c r="AE16" s="99">
        <v>19.5</v>
      </c>
      <c r="AF16" s="99">
        <v>1.3</v>
      </c>
      <c r="AG16" s="100">
        <v>34500</v>
      </c>
      <c r="AH16" s="99">
        <v>35</v>
      </c>
      <c r="AI16" s="99">
        <v>28</v>
      </c>
      <c r="AJ16" s="84"/>
      <c r="AK16" s="94" t="s">
        <v>238</v>
      </c>
      <c r="AL16" s="95">
        <v>510</v>
      </c>
      <c r="AM16" s="95">
        <v>450</v>
      </c>
      <c r="AN16" s="95">
        <v>190000</v>
      </c>
      <c r="AO16" s="95">
        <v>1.1499999999999999</v>
      </c>
      <c r="AP16" s="95">
        <v>585</v>
      </c>
      <c r="AQ16" s="96">
        <v>300</v>
      </c>
    </row>
    <row r="17" spans="1:43" ht="15.75" x14ac:dyDescent="0.25">
      <c r="A17" s="106">
        <f t="shared" si="7"/>
        <v>1.6500000000000006</v>
      </c>
      <c r="B17" s="88">
        <v>2.0199999999999999E-2</v>
      </c>
      <c r="C17" s="88">
        <v>7.4000000000000003E-3</v>
      </c>
      <c r="D17" s="88">
        <v>4.4600000000000001E-2</v>
      </c>
      <c r="E17" s="88">
        <v>1.6400000000000001E-2</v>
      </c>
      <c r="F17" s="89">
        <v>4.8599999999999997E-2</v>
      </c>
      <c r="G17" s="89">
        <v>1.7899999999999999E-2</v>
      </c>
      <c r="I17" s="231" t="s">
        <v>239</v>
      </c>
      <c r="J17" s="231"/>
      <c r="K17" s="231" t="s">
        <v>240</v>
      </c>
      <c r="L17" s="231"/>
      <c r="U17" s="69" t="s">
        <v>241</v>
      </c>
      <c r="AA17" s="230"/>
      <c r="AB17" s="97" t="s">
        <v>242</v>
      </c>
      <c r="AC17" s="97" t="s">
        <v>243</v>
      </c>
      <c r="AD17" s="98" t="s">
        <v>244</v>
      </c>
      <c r="AE17" s="99">
        <v>22</v>
      </c>
      <c r="AF17" s="99">
        <v>1.4</v>
      </c>
      <c r="AG17" s="100">
        <v>36000</v>
      </c>
      <c r="AH17" s="99">
        <v>40</v>
      </c>
      <c r="AI17" s="99">
        <v>32</v>
      </c>
      <c r="AJ17" s="84"/>
      <c r="AK17" s="94" t="s">
        <v>245</v>
      </c>
      <c r="AL17" s="95">
        <v>680</v>
      </c>
      <c r="AM17" s="95">
        <v>500</v>
      </c>
      <c r="AN17" s="95">
        <v>190000</v>
      </c>
      <c r="AO17" s="95">
        <v>1.1499999999999999</v>
      </c>
      <c r="AP17" s="95">
        <v>780</v>
      </c>
      <c r="AQ17" s="96"/>
    </row>
    <row r="18" spans="1:43" ht="15.75" x14ac:dyDescent="0.25">
      <c r="A18" s="106">
        <f t="shared" si="7"/>
        <v>1.7000000000000006</v>
      </c>
      <c r="B18" s="88">
        <v>0.02</v>
      </c>
      <c r="C18" s="88">
        <v>6.8999999999999999E-3</v>
      </c>
      <c r="D18" s="88">
        <v>4.3799999999999999E-2</v>
      </c>
      <c r="E18" s="88">
        <v>1.52E-2</v>
      </c>
      <c r="F18" s="89">
        <v>4.8800000000000003E-2</v>
      </c>
      <c r="G18" s="89">
        <v>1.6899999999999998E-2</v>
      </c>
      <c r="I18" s="110" t="s">
        <v>246</v>
      </c>
      <c r="J18" s="111">
        <v>5.03</v>
      </c>
      <c r="K18" s="112" t="s">
        <v>247</v>
      </c>
      <c r="L18" s="111">
        <v>15.39</v>
      </c>
      <c r="U18" s="69" t="s">
        <v>248</v>
      </c>
      <c r="AA18" s="230"/>
      <c r="AB18" s="97" t="s">
        <v>249</v>
      </c>
      <c r="AC18" s="97" t="s">
        <v>250</v>
      </c>
      <c r="AD18" s="98" t="s">
        <v>251</v>
      </c>
      <c r="AE18" s="99">
        <v>25</v>
      </c>
      <c r="AF18" s="99">
        <v>1.45</v>
      </c>
      <c r="AG18" s="100">
        <v>37500</v>
      </c>
      <c r="AH18" s="99">
        <v>45</v>
      </c>
      <c r="AI18" s="99">
        <v>35</v>
      </c>
      <c r="AJ18" s="84"/>
      <c r="AK18" s="94" t="s">
        <v>252</v>
      </c>
      <c r="AL18" s="95">
        <v>815</v>
      </c>
      <c r="AM18" s="95">
        <v>500</v>
      </c>
      <c r="AN18" s="95">
        <v>190000</v>
      </c>
      <c r="AO18" s="95">
        <v>1.2</v>
      </c>
      <c r="AP18" s="95">
        <v>975</v>
      </c>
      <c r="AQ18" s="96"/>
    </row>
    <row r="19" spans="1:43" ht="15.75" x14ac:dyDescent="0.25">
      <c r="A19" s="106">
        <f t="shared" si="7"/>
        <v>1.7500000000000007</v>
      </c>
      <c r="B19" s="88">
        <v>1.9699999999999999E-2</v>
      </c>
      <c r="C19" s="88">
        <v>6.4000000000000003E-3</v>
      </c>
      <c r="D19" s="88">
        <v>4.3099999999999999E-2</v>
      </c>
      <c r="E19" s="88">
        <v>1.41E-2</v>
      </c>
      <c r="F19" s="89">
        <v>4.8599999999999997E-2</v>
      </c>
      <c r="G19" s="89">
        <v>1.5800000000000002E-2</v>
      </c>
      <c r="I19" s="110" t="s">
        <v>253</v>
      </c>
      <c r="J19" s="111">
        <v>3.35</v>
      </c>
      <c r="K19" s="112" t="s">
        <v>254</v>
      </c>
      <c r="L19" s="111">
        <v>12.83</v>
      </c>
      <c r="U19" s="69" t="s">
        <v>255</v>
      </c>
      <c r="AA19" s="230"/>
      <c r="AB19" s="97" t="s">
        <v>256</v>
      </c>
      <c r="AC19" s="97" t="s">
        <v>257</v>
      </c>
      <c r="AD19" s="98" t="s">
        <v>258</v>
      </c>
      <c r="AE19" s="99">
        <v>27.5</v>
      </c>
      <c r="AF19" s="99">
        <v>1.55</v>
      </c>
      <c r="AG19" s="100">
        <v>39000</v>
      </c>
      <c r="AH19" s="99">
        <v>50</v>
      </c>
      <c r="AI19" s="99">
        <v>40</v>
      </c>
      <c r="AJ19" s="84"/>
      <c r="AK19" s="94" t="s">
        <v>259</v>
      </c>
      <c r="AL19" s="95">
        <v>980</v>
      </c>
      <c r="AM19" s="95">
        <v>500</v>
      </c>
      <c r="AN19" s="95">
        <v>190000</v>
      </c>
      <c r="AO19" s="95">
        <v>1.2</v>
      </c>
      <c r="AP19" s="95">
        <v>1175</v>
      </c>
      <c r="AQ19" s="96"/>
    </row>
    <row r="20" spans="1:43" ht="15.75" x14ac:dyDescent="0.25">
      <c r="A20" s="106">
        <f t="shared" si="7"/>
        <v>1.8000000000000007</v>
      </c>
      <c r="B20" s="88">
        <v>1.95E-2</v>
      </c>
      <c r="C20" s="88">
        <v>6.0000000000000001E-3</v>
      </c>
      <c r="D20" s="88">
        <v>4.3099999999999999E-2</v>
      </c>
      <c r="E20" s="88">
        <v>1.3100000000000001E-2</v>
      </c>
      <c r="F20" s="88"/>
      <c r="G20" s="88"/>
      <c r="H20" s="113"/>
      <c r="I20" s="110" t="s">
        <v>260</v>
      </c>
      <c r="J20" s="111">
        <v>2.5099999999999998</v>
      </c>
      <c r="K20" s="110" t="s">
        <v>261</v>
      </c>
      <c r="L20" s="111">
        <v>11.31</v>
      </c>
      <c r="U20" s="69" t="s">
        <v>262</v>
      </c>
      <c r="AA20" s="230"/>
      <c r="AB20" s="97" t="s">
        <v>263</v>
      </c>
      <c r="AC20" s="97" t="s">
        <v>264</v>
      </c>
      <c r="AD20" s="98" t="s">
        <v>258</v>
      </c>
      <c r="AE20" s="99">
        <v>30</v>
      </c>
      <c r="AF20" s="99">
        <v>1.6</v>
      </c>
      <c r="AG20" s="100">
        <v>39500</v>
      </c>
      <c r="AH20" s="99">
        <v>55</v>
      </c>
      <c r="AI20" s="99">
        <v>45</v>
      </c>
      <c r="AJ20" s="84"/>
      <c r="AK20" s="114" t="s">
        <v>265</v>
      </c>
      <c r="AL20" s="95">
        <v>450</v>
      </c>
      <c r="AM20" s="95">
        <v>200</v>
      </c>
      <c r="AN20" s="95">
        <v>180000</v>
      </c>
      <c r="AO20" s="95">
        <v>1.2</v>
      </c>
      <c r="AP20" s="95">
        <v>540</v>
      </c>
      <c r="AQ20" s="96"/>
    </row>
    <row r="21" spans="1:43" ht="15.75" x14ac:dyDescent="0.25">
      <c r="A21" s="106">
        <f t="shared" si="7"/>
        <v>1.8500000000000008</v>
      </c>
      <c r="B21" s="88">
        <v>1.9199999999999998E-2</v>
      </c>
      <c r="C21" s="88">
        <v>5.5999999999999999E-3</v>
      </c>
      <c r="D21" s="88">
        <v>4.3099999999999999E-2</v>
      </c>
      <c r="E21" s="88">
        <v>1.2200000000000001E-2</v>
      </c>
      <c r="F21" s="88"/>
      <c r="G21" s="88"/>
      <c r="H21" s="113"/>
      <c r="I21" s="110"/>
      <c r="J21" s="111"/>
      <c r="K21" s="112" t="s">
        <v>266</v>
      </c>
      <c r="L21" s="111">
        <v>10.26</v>
      </c>
      <c r="U21" s="69" t="s">
        <v>267</v>
      </c>
      <c r="AA21" s="230"/>
      <c r="AB21" s="97" t="s">
        <v>268</v>
      </c>
      <c r="AC21" s="97" t="s">
        <v>269</v>
      </c>
      <c r="AD21" s="98" t="s">
        <v>270</v>
      </c>
      <c r="AE21" s="99">
        <v>33</v>
      </c>
      <c r="AF21" s="99">
        <v>1.65</v>
      </c>
      <c r="AG21" s="100">
        <v>40000</v>
      </c>
      <c r="AH21" s="99">
        <v>60</v>
      </c>
      <c r="AI21" s="99">
        <v>50</v>
      </c>
      <c r="AJ21" s="84"/>
      <c r="AK21" s="84"/>
      <c r="AL21" s="84"/>
      <c r="AM21" s="84"/>
      <c r="AN21" s="84"/>
      <c r="AO21" s="84"/>
      <c r="AP21" s="84"/>
      <c r="AQ21" s="76"/>
    </row>
    <row r="22" spans="1:43" x14ac:dyDescent="0.25">
      <c r="A22" s="106">
        <f t="shared" si="7"/>
        <v>1.9000000000000008</v>
      </c>
      <c r="B22" s="88">
        <v>1.9E-2</v>
      </c>
      <c r="C22" s="88">
        <v>5.1999999999999998E-3</v>
      </c>
      <c r="D22" s="88">
        <v>4.0800000000000003E-2</v>
      </c>
      <c r="E22" s="88">
        <v>1.1299999999999999E-2</v>
      </c>
      <c r="F22" s="88"/>
      <c r="G22" s="88"/>
      <c r="H22" s="113"/>
      <c r="I22" s="110"/>
      <c r="J22" s="111"/>
      <c r="K22" s="110" t="s">
        <v>271</v>
      </c>
      <c r="L22" s="115">
        <f>$M$8</f>
        <v>9.42</v>
      </c>
      <c r="U22" s="69" t="s">
        <v>272</v>
      </c>
    </row>
    <row r="23" spans="1:43" x14ac:dyDescent="0.25">
      <c r="A23" s="106">
        <f t="shared" si="7"/>
        <v>1.9500000000000008</v>
      </c>
      <c r="B23" s="88">
        <v>1.8599999999999998E-2</v>
      </c>
      <c r="C23" s="88">
        <v>4.8999999999999998E-3</v>
      </c>
      <c r="D23" s="88">
        <v>0.04</v>
      </c>
      <c r="E23" s="88">
        <v>1.0699999999999999E-2</v>
      </c>
      <c r="F23" s="88"/>
      <c r="G23" s="88"/>
      <c r="H23" s="113"/>
      <c r="I23" s="110"/>
      <c r="J23" s="111"/>
      <c r="K23" s="110" t="s">
        <v>273</v>
      </c>
      <c r="L23" s="111">
        <v>7.85</v>
      </c>
      <c r="U23" s="69" t="s">
        <v>274</v>
      </c>
    </row>
    <row r="24" spans="1:43" x14ac:dyDescent="0.25">
      <c r="A24" s="106">
        <f t="shared" si="7"/>
        <v>2.0000000000000009</v>
      </c>
      <c r="B24" s="88">
        <v>1.83E-2</v>
      </c>
      <c r="C24" s="88">
        <v>4.5999999999999999E-3</v>
      </c>
      <c r="D24" s="88">
        <v>3.9199999999999999E-2</v>
      </c>
      <c r="E24" s="88">
        <v>9.7999999999999997E-3</v>
      </c>
      <c r="F24" s="88"/>
      <c r="G24" s="88"/>
      <c r="H24" s="113"/>
      <c r="I24" s="110"/>
      <c r="J24" s="111"/>
      <c r="K24" s="112" t="s">
        <v>275</v>
      </c>
      <c r="L24" s="111">
        <v>7.7</v>
      </c>
      <c r="U24" s="69" t="s">
        <v>276</v>
      </c>
    </row>
    <row r="25" spans="1:43" x14ac:dyDescent="0.25">
      <c r="H25" s="113"/>
      <c r="I25" s="110"/>
      <c r="J25" s="111"/>
      <c r="K25" s="110" t="s">
        <v>277</v>
      </c>
      <c r="L25" s="111">
        <v>7.54</v>
      </c>
      <c r="U25" s="69" t="s">
        <v>278</v>
      </c>
    </row>
    <row r="26" spans="1:43" x14ac:dyDescent="0.25">
      <c r="H26" s="113"/>
      <c r="I26" s="110"/>
      <c r="J26" s="111"/>
      <c r="K26" s="110" t="s">
        <v>279</v>
      </c>
      <c r="L26" s="115">
        <f>$M$12</f>
        <v>7.07</v>
      </c>
      <c r="U26" s="69" t="s">
        <v>280</v>
      </c>
    </row>
    <row r="27" spans="1:43" x14ac:dyDescent="0.25">
      <c r="H27" s="113"/>
      <c r="I27" s="110"/>
      <c r="J27" s="111"/>
      <c r="K27" s="112" t="s">
        <v>281</v>
      </c>
      <c r="L27" s="115">
        <f>$M$14</f>
        <v>6.28</v>
      </c>
      <c r="U27" s="69" t="s">
        <v>282</v>
      </c>
    </row>
    <row r="28" spans="1:43" x14ac:dyDescent="0.25">
      <c r="A28" s="232" t="s">
        <v>283</v>
      </c>
      <c r="B28" s="232"/>
      <c r="C28" s="232"/>
      <c r="D28" s="232"/>
      <c r="E28" s="232"/>
      <c r="F28" s="232"/>
      <c r="G28" s="232"/>
      <c r="H28" s="232"/>
      <c r="I28" s="116"/>
      <c r="J28" s="117"/>
      <c r="K28" s="112" t="s">
        <v>284</v>
      </c>
      <c r="L28" s="111">
        <v>5.65</v>
      </c>
      <c r="U28" s="69" t="s">
        <v>285</v>
      </c>
    </row>
    <row r="29" spans="1:43" x14ac:dyDescent="0.25">
      <c r="A29" s="233"/>
      <c r="B29" s="233"/>
      <c r="C29" s="233"/>
      <c r="D29" s="233"/>
      <c r="E29" s="233"/>
      <c r="F29" s="233"/>
      <c r="G29" s="233"/>
      <c r="H29" s="233"/>
      <c r="I29" s="116"/>
      <c r="J29" s="117"/>
      <c r="K29" s="110" t="s">
        <v>286</v>
      </c>
      <c r="L29" s="111">
        <v>5.24</v>
      </c>
      <c r="U29" s="69" t="s">
        <v>285</v>
      </c>
    </row>
    <row r="30" spans="1:43" x14ac:dyDescent="0.25">
      <c r="A30" s="234" t="s">
        <v>7</v>
      </c>
      <c r="B30" s="236" t="s">
        <v>287</v>
      </c>
      <c r="C30" s="237"/>
      <c r="D30" s="236" t="s">
        <v>288</v>
      </c>
      <c r="E30" s="236"/>
      <c r="F30" s="236" t="s">
        <v>289</v>
      </c>
      <c r="G30" s="236"/>
      <c r="H30" s="237" t="s">
        <v>52</v>
      </c>
      <c r="I30" s="116"/>
      <c r="J30" s="117"/>
      <c r="K30" s="112" t="s">
        <v>290</v>
      </c>
      <c r="L30" s="111">
        <v>3.93</v>
      </c>
      <c r="U30" s="69" t="s">
        <v>291</v>
      </c>
    </row>
    <row r="31" spans="1:43" x14ac:dyDescent="0.25">
      <c r="A31" s="235"/>
      <c r="B31" s="237"/>
      <c r="C31" s="237"/>
      <c r="D31" s="236"/>
      <c r="E31" s="236"/>
      <c r="F31" s="236"/>
      <c r="G31" s="236"/>
      <c r="H31" s="237"/>
      <c r="I31" s="116"/>
      <c r="J31" s="117"/>
      <c r="K31" s="117"/>
      <c r="L31" s="113"/>
      <c r="U31" s="69" t="s">
        <v>291</v>
      </c>
    </row>
    <row r="32" spans="1:43" x14ac:dyDescent="0.25">
      <c r="A32" s="118">
        <v>1</v>
      </c>
      <c r="B32" s="225" t="s">
        <v>292</v>
      </c>
      <c r="C32" s="226"/>
      <c r="D32" s="225">
        <v>15</v>
      </c>
      <c r="E32" s="226"/>
      <c r="F32" s="228">
        <v>2000</v>
      </c>
      <c r="G32" s="228"/>
      <c r="H32" s="119">
        <v>1.1000000000000001</v>
      </c>
      <c r="I32" s="116"/>
      <c r="J32" s="117"/>
      <c r="K32" s="117"/>
      <c r="L32" s="113"/>
      <c r="U32" s="69" t="s">
        <v>291</v>
      </c>
    </row>
    <row r="33" spans="1:21" x14ac:dyDescent="0.25">
      <c r="A33" s="118">
        <v>2</v>
      </c>
      <c r="B33" s="224" t="s">
        <v>293</v>
      </c>
      <c r="C33" s="224"/>
      <c r="D33" s="225">
        <v>15</v>
      </c>
      <c r="E33" s="226"/>
      <c r="F33" s="228">
        <v>2000</v>
      </c>
      <c r="G33" s="228"/>
      <c r="H33" s="119">
        <v>1.2</v>
      </c>
      <c r="I33" s="116"/>
      <c r="J33" s="117"/>
      <c r="K33" s="117"/>
      <c r="L33" s="113"/>
      <c r="U33" s="69" t="s">
        <v>294</v>
      </c>
    </row>
    <row r="34" spans="1:21" x14ac:dyDescent="0.25">
      <c r="A34" s="118">
        <v>3</v>
      </c>
      <c r="B34" s="224" t="s">
        <v>295</v>
      </c>
      <c r="C34" s="224"/>
      <c r="D34" s="225">
        <v>20</v>
      </c>
      <c r="E34" s="226"/>
      <c r="F34" s="228">
        <v>2400</v>
      </c>
      <c r="G34" s="228"/>
      <c r="H34" s="119">
        <v>1.2</v>
      </c>
      <c r="I34" s="116"/>
      <c r="J34" s="117"/>
      <c r="K34" s="117"/>
      <c r="L34" s="113"/>
      <c r="U34" s="69" t="s">
        <v>296</v>
      </c>
    </row>
    <row r="35" spans="1:21" x14ac:dyDescent="0.25">
      <c r="A35" s="118">
        <v>4</v>
      </c>
      <c r="B35" s="224" t="s">
        <v>297</v>
      </c>
      <c r="C35" s="224"/>
      <c r="D35" s="225">
        <v>10</v>
      </c>
      <c r="E35" s="226"/>
      <c r="F35" s="228">
        <v>2000</v>
      </c>
      <c r="G35" s="228"/>
      <c r="H35" s="119">
        <v>1.2</v>
      </c>
      <c r="I35" s="116"/>
      <c r="J35" s="117"/>
      <c r="K35" s="117"/>
      <c r="L35" s="113"/>
      <c r="U35" s="69" t="s">
        <v>298</v>
      </c>
    </row>
    <row r="36" spans="1:21" x14ac:dyDescent="0.25">
      <c r="A36" s="118">
        <v>5</v>
      </c>
      <c r="B36" s="224" t="s">
        <v>299</v>
      </c>
      <c r="C36" s="224"/>
      <c r="D36" s="225"/>
      <c r="E36" s="226"/>
      <c r="F36" s="228">
        <v>1600</v>
      </c>
      <c r="G36" s="228"/>
      <c r="H36" s="119">
        <v>1.1000000000000001</v>
      </c>
      <c r="I36" s="116"/>
      <c r="J36" s="117"/>
      <c r="K36" s="117"/>
      <c r="L36" s="113"/>
      <c r="U36" s="69" t="s">
        <v>300</v>
      </c>
    </row>
    <row r="37" spans="1:21" x14ac:dyDescent="0.25">
      <c r="A37" s="118">
        <v>6</v>
      </c>
      <c r="B37" s="224" t="s">
        <v>301</v>
      </c>
      <c r="C37" s="224"/>
      <c r="D37" s="225"/>
      <c r="E37" s="226"/>
      <c r="F37" s="228">
        <v>2500</v>
      </c>
      <c r="G37" s="228"/>
      <c r="H37" s="119">
        <v>1.1000000000000001</v>
      </c>
      <c r="I37" s="116"/>
      <c r="J37" s="117"/>
      <c r="K37" s="117"/>
      <c r="L37" s="113"/>
    </row>
    <row r="38" spans="1:21" ht="15.75" customHeight="1" x14ac:dyDescent="0.25">
      <c r="A38" s="118">
        <v>7</v>
      </c>
      <c r="B38" s="224" t="s">
        <v>302</v>
      </c>
      <c r="C38" s="224"/>
      <c r="D38" s="225">
        <v>15</v>
      </c>
      <c r="E38" s="226"/>
      <c r="F38" s="228">
        <v>2000</v>
      </c>
      <c r="G38" s="228"/>
      <c r="H38" s="119">
        <v>1.2</v>
      </c>
      <c r="I38" s="116"/>
      <c r="J38" s="117"/>
      <c r="K38" s="117"/>
      <c r="L38" s="113"/>
    </row>
    <row r="39" spans="1:21" x14ac:dyDescent="0.25">
      <c r="A39" s="118">
        <v>8</v>
      </c>
      <c r="B39" s="224" t="s">
        <v>303</v>
      </c>
      <c r="C39" s="224"/>
      <c r="D39" s="225"/>
      <c r="E39" s="226"/>
      <c r="F39" s="228">
        <v>2300</v>
      </c>
      <c r="G39" s="228"/>
      <c r="H39" s="119">
        <v>1.1000000000000001</v>
      </c>
      <c r="I39" s="116"/>
      <c r="J39" s="117"/>
      <c r="K39" s="117"/>
      <c r="L39" s="113"/>
    </row>
    <row r="40" spans="1:21" x14ac:dyDescent="0.25">
      <c r="A40" s="118"/>
      <c r="B40" s="224"/>
      <c r="C40" s="224"/>
      <c r="D40" s="225"/>
      <c r="E40" s="226"/>
      <c r="F40" s="227"/>
      <c r="G40" s="227"/>
      <c r="H40" s="119"/>
      <c r="I40" s="116"/>
      <c r="J40" s="117"/>
      <c r="K40" s="117"/>
      <c r="L40" s="113"/>
    </row>
    <row r="41" spans="1:21" x14ac:dyDescent="0.25">
      <c r="A41" s="118"/>
      <c r="B41" s="224"/>
      <c r="C41" s="224"/>
      <c r="D41" s="224"/>
      <c r="E41" s="224"/>
      <c r="F41" s="228"/>
      <c r="G41" s="228"/>
      <c r="H41" s="119"/>
      <c r="I41" s="116"/>
      <c r="J41" s="117"/>
      <c r="K41" s="117"/>
      <c r="L41" s="113"/>
    </row>
    <row r="42" spans="1:21" x14ac:dyDescent="0.25">
      <c r="H42" s="113"/>
      <c r="I42" s="116"/>
      <c r="J42" s="117"/>
      <c r="K42" s="117"/>
      <c r="L42" s="113"/>
    </row>
    <row r="43" spans="1:21" x14ac:dyDescent="0.25">
      <c r="H43" s="113"/>
      <c r="I43" s="116"/>
      <c r="J43" s="117"/>
      <c r="K43" s="117"/>
      <c r="L43" s="113"/>
    </row>
    <row r="44" spans="1:21" x14ac:dyDescent="0.25">
      <c r="H44" s="113"/>
      <c r="I44" s="116"/>
      <c r="J44" s="117"/>
      <c r="K44" s="117"/>
      <c r="L44" s="113"/>
    </row>
    <row r="45" spans="1:21" x14ac:dyDescent="0.25">
      <c r="H45" s="113"/>
      <c r="I45" s="116"/>
      <c r="J45" s="117"/>
      <c r="K45" s="117"/>
      <c r="L45" s="113"/>
    </row>
    <row r="46" spans="1:21" x14ac:dyDescent="0.25">
      <c r="H46" s="113"/>
      <c r="I46" s="116"/>
      <c r="J46" s="117"/>
      <c r="K46" s="117"/>
      <c r="L46" s="113"/>
    </row>
    <row r="47" spans="1:21" x14ac:dyDescent="0.25">
      <c r="H47" s="113"/>
      <c r="I47" s="116"/>
      <c r="J47" s="117"/>
      <c r="K47" s="117"/>
      <c r="L47" s="113"/>
    </row>
    <row r="48" spans="1:21" x14ac:dyDescent="0.25">
      <c r="H48" s="113"/>
      <c r="I48" s="116"/>
      <c r="J48" s="117"/>
      <c r="K48" s="117"/>
      <c r="L48" s="113"/>
    </row>
    <row r="49" spans="8:12" x14ac:dyDescent="0.25">
      <c r="H49" s="113"/>
      <c r="I49" s="116"/>
      <c r="J49" s="117"/>
      <c r="K49" s="117"/>
      <c r="L49" s="113"/>
    </row>
    <row r="50" spans="8:12" x14ac:dyDescent="0.25">
      <c r="H50" s="113"/>
      <c r="I50" s="116"/>
      <c r="J50" s="117"/>
      <c r="K50" s="117"/>
      <c r="L50" s="113"/>
    </row>
    <row r="51" spans="8:12" x14ac:dyDescent="0.25">
      <c r="I51" s="116"/>
      <c r="J51" s="117"/>
      <c r="K51" s="117"/>
      <c r="L51" s="113"/>
    </row>
    <row r="52" spans="8:12" x14ac:dyDescent="0.25">
      <c r="I52" s="116"/>
      <c r="J52" s="117"/>
      <c r="K52" s="113"/>
      <c r="L52" s="113"/>
    </row>
    <row r="53" spans="8:12" x14ac:dyDescent="0.25">
      <c r="I53" s="117"/>
      <c r="J53" s="117"/>
      <c r="K53" s="113"/>
      <c r="L53" s="113"/>
    </row>
    <row r="54" spans="8:12" x14ac:dyDescent="0.25">
      <c r="I54" s="117"/>
      <c r="J54" s="117"/>
      <c r="K54" s="113"/>
      <c r="L54" s="113"/>
    </row>
    <row r="55" spans="8:12" x14ac:dyDescent="0.25">
      <c r="I55" s="117"/>
      <c r="J55" s="117"/>
      <c r="K55" s="113"/>
      <c r="L55" s="113"/>
    </row>
    <row r="56" spans="8:12" x14ac:dyDescent="0.25">
      <c r="I56" s="117"/>
      <c r="J56" s="117"/>
    </row>
    <row r="57" spans="8:12" x14ac:dyDescent="0.25">
      <c r="I57" s="117"/>
      <c r="J57" s="117"/>
    </row>
    <row r="58" spans="8:12" x14ac:dyDescent="0.25">
      <c r="I58" s="117"/>
      <c r="J58" s="117"/>
    </row>
    <row r="59" spans="8:12" x14ac:dyDescent="0.25">
      <c r="I59" s="117"/>
      <c r="J59" s="117"/>
    </row>
    <row r="60" spans="8:12" x14ac:dyDescent="0.25">
      <c r="I60" s="117"/>
      <c r="J60" s="117"/>
    </row>
    <row r="61" spans="8:12" x14ac:dyDescent="0.25">
      <c r="I61" s="117"/>
      <c r="J61" s="117"/>
    </row>
    <row r="62" spans="8:12" x14ac:dyDescent="0.25">
      <c r="I62" s="117"/>
      <c r="J62" s="117"/>
    </row>
    <row r="63" spans="8:12" x14ac:dyDescent="0.25">
      <c r="I63" s="117"/>
      <c r="J63" s="117"/>
    </row>
    <row r="64" spans="8:12" x14ac:dyDescent="0.25">
      <c r="I64" s="117"/>
      <c r="J64" s="117"/>
    </row>
    <row r="65" spans="9:10" x14ac:dyDescent="0.25">
      <c r="I65" s="117"/>
      <c r="J65" s="117"/>
    </row>
    <row r="66" spans="9:10" x14ac:dyDescent="0.25">
      <c r="I66" s="117"/>
      <c r="J66" s="117"/>
    </row>
    <row r="67" spans="9:10" x14ac:dyDescent="0.25">
      <c r="I67" s="117"/>
      <c r="J67" s="117"/>
    </row>
    <row r="68" spans="9:10" x14ac:dyDescent="0.25">
      <c r="I68" s="117"/>
      <c r="J68" s="117"/>
    </row>
    <row r="69" spans="9:10" x14ac:dyDescent="0.25">
      <c r="I69" s="117"/>
      <c r="J69" s="117"/>
    </row>
    <row r="70" spans="9:10" x14ac:dyDescent="0.25">
      <c r="I70" s="117"/>
      <c r="J70" s="117"/>
    </row>
    <row r="71" spans="9:10" x14ac:dyDescent="0.25">
      <c r="I71" s="117"/>
      <c r="J71" s="117"/>
    </row>
    <row r="72" spans="9:10" x14ac:dyDescent="0.25">
      <c r="I72" s="117"/>
      <c r="J72" s="117"/>
    </row>
    <row r="73" spans="9:10" x14ac:dyDescent="0.25">
      <c r="I73" s="117"/>
      <c r="J73" s="117"/>
    </row>
    <row r="74" spans="9:10" x14ac:dyDescent="0.25">
      <c r="I74" s="117"/>
      <c r="J74" s="117"/>
    </row>
    <row r="75" spans="9:10" x14ac:dyDescent="0.25">
      <c r="I75" s="117"/>
      <c r="J75" s="117"/>
    </row>
    <row r="76" spans="9:10" x14ac:dyDescent="0.25">
      <c r="I76" s="117"/>
      <c r="J76" s="117"/>
    </row>
    <row r="77" spans="9:10" x14ac:dyDescent="0.25">
      <c r="I77" s="117"/>
      <c r="J77" s="117"/>
    </row>
    <row r="78" spans="9:10" x14ac:dyDescent="0.25">
      <c r="I78" s="117"/>
      <c r="J78" s="117"/>
    </row>
    <row r="79" spans="9:10" x14ac:dyDescent="0.25">
      <c r="I79" s="117"/>
      <c r="J79" s="117"/>
    </row>
    <row r="80" spans="9:10" x14ac:dyDescent="0.25">
      <c r="I80" s="117"/>
      <c r="J80" s="117"/>
    </row>
    <row r="81" spans="9:10" x14ac:dyDescent="0.25">
      <c r="I81" s="117"/>
      <c r="J81" s="117"/>
    </row>
    <row r="82" spans="9:10" x14ac:dyDescent="0.25">
      <c r="I82" s="117"/>
      <c r="J82" s="117"/>
    </row>
    <row r="83" spans="9:10" x14ac:dyDescent="0.25">
      <c r="I83" s="117"/>
      <c r="J83" s="117"/>
    </row>
    <row r="84" spans="9:10" x14ac:dyDescent="0.25">
      <c r="I84" s="117"/>
      <c r="J84" s="117"/>
    </row>
    <row r="85" spans="9:10" x14ac:dyDescent="0.25">
      <c r="I85" s="117"/>
      <c r="J85" s="117"/>
    </row>
    <row r="86" spans="9:10" x14ac:dyDescent="0.25">
      <c r="I86" s="117"/>
      <c r="J86" s="117"/>
    </row>
    <row r="87" spans="9:10" x14ac:dyDescent="0.25">
      <c r="I87" s="117"/>
      <c r="J87" s="117"/>
    </row>
    <row r="88" spans="9:10" x14ac:dyDescent="0.25">
      <c r="I88" s="117"/>
      <c r="J88" s="117"/>
    </row>
    <row r="89" spans="9:10" x14ac:dyDescent="0.25">
      <c r="I89" s="117"/>
      <c r="J89" s="117"/>
    </row>
    <row r="90" spans="9:10" x14ac:dyDescent="0.25">
      <c r="I90" s="117"/>
      <c r="J90" s="117"/>
    </row>
    <row r="91" spans="9:10" x14ac:dyDescent="0.25">
      <c r="I91" s="117"/>
      <c r="J91" s="117"/>
    </row>
    <row r="92" spans="9:10" x14ac:dyDescent="0.25">
      <c r="I92" s="117"/>
      <c r="J92" s="117"/>
    </row>
    <row r="93" spans="9:10" x14ac:dyDescent="0.25">
      <c r="I93" s="117"/>
      <c r="J93" s="117"/>
    </row>
    <row r="94" spans="9:10" x14ac:dyDescent="0.25">
      <c r="I94" s="117"/>
      <c r="J94" s="117"/>
    </row>
    <row r="95" spans="9:10" x14ac:dyDescent="0.25">
      <c r="I95" s="117"/>
      <c r="J95" s="117"/>
    </row>
    <row r="96" spans="9:10" x14ac:dyDescent="0.25">
      <c r="I96" s="117"/>
      <c r="J96" s="117"/>
    </row>
    <row r="97" spans="9:10" x14ac:dyDescent="0.25">
      <c r="I97" s="117"/>
      <c r="J97" s="117"/>
    </row>
    <row r="98" spans="9:10" x14ac:dyDescent="0.25">
      <c r="I98" s="117"/>
      <c r="J98" s="117"/>
    </row>
    <row r="99" spans="9:10" x14ac:dyDescent="0.25">
      <c r="I99" s="117"/>
      <c r="J99" s="117"/>
    </row>
    <row r="100" spans="9:10" x14ac:dyDescent="0.25">
      <c r="I100" s="117"/>
      <c r="J100" s="117"/>
    </row>
    <row r="101" spans="9:10" x14ac:dyDescent="0.25">
      <c r="I101" s="117"/>
      <c r="J101" s="117"/>
    </row>
    <row r="102" spans="9:10" x14ac:dyDescent="0.25">
      <c r="I102" s="117"/>
      <c r="J102" s="117"/>
    </row>
    <row r="103" spans="9:10" x14ac:dyDescent="0.25">
      <c r="I103" s="117"/>
      <c r="J103" s="117"/>
    </row>
    <row r="104" spans="9:10" x14ac:dyDescent="0.25">
      <c r="I104" s="117"/>
      <c r="J104" s="117"/>
    </row>
    <row r="105" spans="9:10" x14ac:dyDescent="0.25">
      <c r="I105" s="117"/>
      <c r="J105" s="117"/>
    </row>
    <row r="106" spans="9:10" x14ac:dyDescent="0.25">
      <c r="I106" s="117"/>
      <c r="J106" s="117"/>
    </row>
    <row r="107" spans="9:10" x14ac:dyDescent="0.25">
      <c r="I107" s="117"/>
      <c r="J107" s="117"/>
    </row>
    <row r="108" spans="9:10" x14ac:dyDescent="0.25">
      <c r="I108" s="117"/>
      <c r="J108" s="117"/>
    </row>
    <row r="109" spans="9:10" x14ac:dyDescent="0.25">
      <c r="I109" s="117"/>
      <c r="J109" s="117"/>
    </row>
    <row r="110" spans="9:10" x14ac:dyDescent="0.25">
      <c r="I110" s="117"/>
      <c r="J110" s="117"/>
    </row>
    <row r="111" spans="9:10" x14ac:dyDescent="0.25">
      <c r="I111" s="117"/>
      <c r="J111" s="117"/>
    </row>
    <row r="112" spans="9:10" x14ac:dyDescent="0.25">
      <c r="I112" s="117"/>
      <c r="J112" s="117"/>
    </row>
    <row r="113" spans="9:10" x14ac:dyDescent="0.25">
      <c r="I113" s="117"/>
      <c r="J113" s="117"/>
    </row>
    <row r="114" spans="9:10" x14ac:dyDescent="0.25">
      <c r="I114" s="117"/>
      <c r="J114" s="117"/>
    </row>
    <row r="115" spans="9:10" x14ac:dyDescent="0.25">
      <c r="I115" s="117"/>
      <c r="J115" s="117"/>
    </row>
    <row r="116" spans="9:10" x14ac:dyDescent="0.25">
      <c r="I116" s="117"/>
      <c r="J116" s="117"/>
    </row>
    <row r="117" spans="9:10" x14ac:dyDescent="0.25">
      <c r="I117" s="117"/>
      <c r="J117" s="117"/>
    </row>
    <row r="118" spans="9:10" x14ac:dyDescent="0.25">
      <c r="I118" s="117"/>
      <c r="J118" s="117"/>
    </row>
    <row r="119" spans="9:10" x14ac:dyDescent="0.25">
      <c r="I119" s="117"/>
      <c r="J119" s="117"/>
    </row>
    <row r="120" spans="9:10" x14ac:dyDescent="0.25">
      <c r="I120" s="117"/>
      <c r="J120" s="117"/>
    </row>
    <row r="121" spans="9:10" x14ac:dyDescent="0.25">
      <c r="I121" s="117"/>
      <c r="J121" s="117"/>
    </row>
    <row r="122" spans="9:10" x14ac:dyDescent="0.25">
      <c r="I122" s="117"/>
      <c r="J122" s="117"/>
    </row>
    <row r="123" spans="9:10" x14ac:dyDescent="0.25">
      <c r="I123" s="117"/>
      <c r="J123" s="117"/>
    </row>
    <row r="124" spans="9:10" x14ac:dyDescent="0.25">
      <c r="I124" s="117"/>
      <c r="J124" s="117"/>
    </row>
    <row r="125" spans="9:10" x14ac:dyDescent="0.25">
      <c r="I125" s="117"/>
      <c r="J125" s="117"/>
    </row>
    <row r="126" spans="9:10" x14ac:dyDescent="0.25">
      <c r="I126" s="117"/>
      <c r="J126" s="117"/>
    </row>
  </sheetData>
  <sheetProtection formatCells="0" formatColumns="0" formatRows="0" insertColumns="0" insertRows="0" insertHyperlinks="0" deleteColumns="0" deleteRows="0"/>
  <autoFilter ref="U15:U36" xr:uid="{00000000-0009-0000-0000-000002000000}">
    <sortState xmlns:xlrd2="http://schemas.microsoft.com/office/spreadsheetml/2017/richdata2" ref="U16:U36">
      <sortCondition ref="U15:U36"/>
    </sortState>
  </autoFilter>
  <mergeCells count="45">
    <mergeCell ref="AA5:AD5"/>
    <mergeCell ref="A1:F1"/>
    <mergeCell ref="I1:L1"/>
    <mergeCell ref="A2:E2"/>
    <mergeCell ref="F2:G2"/>
    <mergeCell ref="AA4:AD4"/>
    <mergeCell ref="AA6:AA21"/>
    <mergeCell ref="I17:J17"/>
    <mergeCell ref="K17:L17"/>
    <mergeCell ref="A28:H29"/>
    <mergeCell ref="A30:A31"/>
    <mergeCell ref="B30:C31"/>
    <mergeCell ref="D30:E31"/>
    <mergeCell ref="F30:G31"/>
    <mergeCell ref="H30:H31"/>
    <mergeCell ref="B32:C32"/>
    <mergeCell ref="D32:E32"/>
    <mergeCell ref="F32:G32"/>
    <mergeCell ref="B33:C33"/>
    <mergeCell ref="D33:E33"/>
    <mergeCell ref="F33:G33"/>
    <mergeCell ref="B34:C34"/>
    <mergeCell ref="D34:E34"/>
    <mergeCell ref="F34:G34"/>
    <mergeCell ref="B35:C35"/>
    <mergeCell ref="D35:E35"/>
    <mergeCell ref="F35:G35"/>
    <mergeCell ref="B36:C36"/>
    <mergeCell ref="D36:E36"/>
    <mergeCell ref="F36:G36"/>
    <mergeCell ref="B37:C37"/>
    <mergeCell ref="D37:E37"/>
    <mergeCell ref="F37:G37"/>
    <mergeCell ref="B38:C38"/>
    <mergeCell ref="D38:E38"/>
    <mergeCell ref="F38:G38"/>
    <mergeCell ref="B39:C39"/>
    <mergeCell ref="D39:E39"/>
    <mergeCell ref="F39:G39"/>
    <mergeCell ref="B40:C40"/>
    <mergeCell ref="D40:E40"/>
    <mergeCell ref="F40:G40"/>
    <mergeCell ref="B41:C41"/>
    <mergeCell ref="D41:E41"/>
    <mergeCell ref="F41:G41"/>
  </mergeCells>
  <hyperlinks>
    <hyperlink ref="E17" r:id="rId1" tooltip="Hoạt tải tiêu chuẩn tác dụng lên sàn và cầu thang" display="http://vi.ketcau.wikia.com/index.php?title=Ho%E1%BA%A1t_t%E1%BA%A3i_ti%C3%AAu_chu%E1%BA%A9n_t%C3%A1c_d%E1%BB%A5ng_l%C3%AAn_s%C3%A0n_v%C3%A0_c%E1%BA%A7u_thang&amp;action=edit" xr:uid="{52BA064D-43BC-4FC5-8A4C-3749F6891BD2}"/>
    <hyperlink ref="A31" r:id="rId2" display="http://vi.ketcau.wikia.com/index.php?title=Ho%E1%BA%A1t_t%E1%BA%A3i_ti%C3%AAu_chu%E1%BA%A9n_t%C3%A1c_d%E1%BB%A5ng_l%C3%AAn_s%C3%A0n_v%C3%A0_c%E1%BA%A7u_thang&amp;action=edit" xr:uid="{A4FE1477-A1F4-422F-9350-1B5119028181}"/>
  </hyperlinks>
  <pageMargins left="0.75" right="0.75" top="1" bottom="1" header="0.5" footer="0.5"/>
  <pageSetup orientation="portrait" horizontalDpi="300" verticalDpi="300" r:id="rId3"/>
  <headerFooter alignWithMargins="0"/>
  <drawing r:id="rId4"/>
  <legacyDrawing r:id="rId5"/>
  <controls>
    <mc:AlternateContent xmlns:mc="http://schemas.openxmlformats.org/markup-compatibility/2006">
      <mc:Choice Requires="x14">
        <control shapeId="10241" r:id="rId6" name="CommandButton1">
          <controlPr defaultSize="0" autoLine="0" r:id="rId7">
            <anchor moveWithCells="1">
              <from>
                <xdr:col>7</xdr:col>
                <xdr:colOff>190500</xdr:colOff>
                <xdr:row>97</xdr:row>
                <xdr:rowOff>0</xdr:rowOff>
              </from>
              <to>
                <xdr:col>8</xdr:col>
                <xdr:colOff>352425</xdr:colOff>
                <xdr:row>99</xdr:row>
                <xdr:rowOff>0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00B050"/>
  </sheetPr>
  <dimension ref="A1:BO159"/>
  <sheetViews>
    <sheetView zoomScale="85" zoomScaleNormal="85" workbookViewId="0">
      <pane ySplit="7" topLeftCell="A8" activePane="bottomLeft" state="frozen"/>
      <selection pane="bottomLeft" activeCell="BI41" sqref="BI41"/>
    </sheetView>
  </sheetViews>
  <sheetFormatPr defaultColWidth="7.28515625" defaultRowHeight="15" x14ac:dyDescent="0.25"/>
  <cols>
    <col min="1" max="2" width="7.28515625" style="16"/>
    <col min="3" max="3" width="0" style="16" hidden="1" customWidth="1"/>
    <col min="4" max="4" width="9.5703125" style="17" customWidth="1"/>
    <col min="5" max="5" width="9.140625" style="58" customWidth="1"/>
    <col min="6" max="7" width="7.28515625" style="40" hidden="1" customWidth="1"/>
    <col min="8" max="8" width="7.28515625" style="41" hidden="1" customWidth="1"/>
    <col min="9" max="10" width="7.28515625" style="40" hidden="1" customWidth="1"/>
    <col min="11" max="12" width="4.28515625" style="30" customWidth="1"/>
    <col min="13" max="13" width="4.28515625" style="31" customWidth="1"/>
    <col min="14" max="17" width="4.28515625" style="30" customWidth="1"/>
    <col min="18" max="18" width="4.28515625" style="32" customWidth="1"/>
    <col min="19" max="20" width="7.28515625" style="40" hidden="1" customWidth="1"/>
    <col min="21" max="21" width="7.28515625" style="40" hidden="1" customWidth="1" collapsed="1"/>
    <col min="22" max="22" width="7.28515625" style="41" hidden="1" customWidth="1"/>
    <col min="23" max="23" width="7.28515625" style="42" hidden="1" customWidth="1"/>
    <col min="24" max="24" width="7.28515625" style="40" hidden="1" customWidth="1"/>
    <col min="25" max="25" width="7.28515625" style="41" hidden="1" customWidth="1"/>
    <col min="26" max="27" width="7.28515625" style="40" hidden="1" customWidth="1"/>
    <col min="28" max="28" width="4.28515625" style="35" customWidth="1" collapsed="1"/>
    <col min="29" max="34" width="4.28515625" style="35" customWidth="1"/>
    <col min="35" max="35" width="4.28515625" style="36" customWidth="1"/>
    <col min="36" max="37" width="7.28515625" style="40" hidden="1" customWidth="1"/>
    <col min="38" max="38" width="7.28515625" style="40" hidden="1" customWidth="1" collapsed="1"/>
    <col min="39" max="39" width="7.28515625" style="41" hidden="1" customWidth="1"/>
    <col min="40" max="40" width="4.28515625" style="16" customWidth="1"/>
    <col min="41" max="41" width="8.5703125" style="16" customWidth="1"/>
    <col min="42" max="42" width="4.28515625" style="25" customWidth="1"/>
    <col min="43" max="43" width="4.28515625" style="17" customWidth="1"/>
    <col min="44" max="44" width="8.28515625" style="57" customWidth="1"/>
    <col min="45" max="45" width="12.42578125" style="16" customWidth="1"/>
    <col min="46" max="46" width="9.140625" style="16" customWidth="1"/>
    <col min="47" max="47" width="7.28515625" style="39"/>
    <col min="48" max="49" width="7.28515625" style="16"/>
    <col min="50" max="50" width="7.28515625" style="15"/>
    <col min="51" max="56" width="0" style="14" hidden="1" customWidth="1"/>
    <col min="57" max="60" width="7.28515625" style="14"/>
    <col min="61" max="61" width="10.42578125" style="14" customWidth="1"/>
    <col min="62" max="62" width="14.7109375" style="14" customWidth="1"/>
    <col min="63" max="65" width="7.28515625" style="14"/>
    <col min="66" max="66" width="9.7109375" style="14" customWidth="1"/>
    <col min="67" max="16384" width="7.28515625" style="14"/>
  </cols>
  <sheetData>
    <row r="1" spans="1:67" ht="18" hidden="1" customHeight="1" x14ac:dyDescent="0.25">
      <c r="A1" s="20"/>
      <c r="B1" s="21"/>
      <c r="C1" s="21"/>
      <c r="D1" s="21"/>
      <c r="E1" s="38"/>
      <c r="F1" s="26"/>
      <c r="G1" s="26"/>
      <c r="H1" s="26"/>
      <c r="I1" s="26"/>
      <c r="J1" s="26"/>
      <c r="K1" s="27"/>
      <c r="L1" s="27"/>
      <c r="M1" s="28"/>
      <c r="N1" s="28"/>
      <c r="O1" s="28"/>
      <c r="P1" s="28"/>
      <c r="Q1" s="28"/>
      <c r="R1" s="28"/>
      <c r="S1" s="26"/>
      <c r="T1" s="26"/>
      <c r="U1" s="26"/>
      <c r="V1" s="26"/>
      <c r="W1" s="21"/>
      <c r="X1" s="21"/>
      <c r="Y1" s="21"/>
      <c r="Z1" s="21"/>
      <c r="AA1" s="21"/>
      <c r="AB1" s="33"/>
      <c r="AC1" s="33"/>
      <c r="AD1" s="33"/>
      <c r="AE1" s="33"/>
      <c r="AF1" s="33"/>
      <c r="AG1" s="33"/>
      <c r="AH1" s="33"/>
      <c r="AI1" s="33"/>
      <c r="AJ1" s="26"/>
      <c r="AK1" s="26"/>
      <c r="AL1" s="26"/>
      <c r="AM1" s="26"/>
      <c r="AN1" s="26"/>
      <c r="AO1" s="26"/>
      <c r="AP1" s="21"/>
      <c r="AQ1" s="21"/>
      <c r="AR1" s="56"/>
      <c r="AS1" s="38"/>
      <c r="AT1" s="38"/>
      <c r="BL1" s="67"/>
      <c r="BM1" s="67"/>
      <c r="BN1" s="67"/>
      <c r="BO1" s="67"/>
    </row>
    <row r="2" spans="1:67" ht="15" hidden="1" customHeight="1" x14ac:dyDescent="0.25">
      <c r="A2" s="20"/>
      <c r="B2" s="21"/>
      <c r="C2" s="21"/>
      <c r="D2" s="21"/>
      <c r="E2" s="38"/>
      <c r="F2" s="26"/>
      <c r="G2" s="26"/>
      <c r="H2" s="26"/>
      <c r="I2" s="26"/>
      <c r="J2" s="26"/>
      <c r="K2" s="27"/>
      <c r="L2" s="27"/>
      <c r="M2" s="28"/>
      <c r="N2" s="28"/>
      <c r="O2" s="28"/>
      <c r="P2" s="28"/>
      <c r="Q2" s="28"/>
      <c r="R2" s="28"/>
      <c r="S2" s="26"/>
      <c r="T2" s="26"/>
      <c r="U2" s="26"/>
      <c r="V2" s="26"/>
      <c r="W2" s="21"/>
      <c r="X2" s="21"/>
      <c r="Y2" s="21"/>
      <c r="Z2" s="21"/>
      <c r="AA2" s="21"/>
      <c r="AB2" s="33"/>
      <c r="AC2" s="33"/>
      <c r="AD2" s="33"/>
      <c r="AE2" s="33"/>
      <c r="AF2" s="33"/>
      <c r="AG2" s="33"/>
      <c r="AH2" s="33"/>
      <c r="AI2" s="33"/>
      <c r="AJ2" s="26"/>
      <c r="AK2" s="26"/>
      <c r="AL2" s="26"/>
      <c r="AM2" s="26"/>
      <c r="AN2" s="26"/>
      <c r="AO2" s="26"/>
      <c r="AP2" s="21"/>
      <c r="AQ2" s="21"/>
      <c r="AR2" s="56"/>
      <c r="AS2" s="38"/>
      <c r="AT2" s="38"/>
      <c r="BL2" s="67"/>
      <c r="BM2" s="67"/>
      <c r="BN2" s="67"/>
      <c r="BO2" s="67"/>
    </row>
    <row r="3" spans="1:67" ht="15" hidden="1" customHeight="1" x14ac:dyDescent="0.25">
      <c r="A3" s="20"/>
      <c r="B3" s="21"/>
      <c r="C3" s="21"/>
      <c r="D3" s="21"/>
      <c r="E3" s="38"/>
      <c r="F3" s="26"/>
      <c r="G3" s="26"/>
      <c r="H3" s="26"/>
      <c r="I3" s="26"/>
      <c r="J3" s="26"/>
      <c r="K3" s="27"/>
      <c r="L3" s="27"/>
      <c r="M3" s="28"/>
      <c r="N3" s="28"/>
      <c r="O3" s="28"/>
      <c r="P3" s="28"/>
      <c r="Q3" s="28"/>
      <c r="R3" s="28"/>
      <c r="S3" s="26"/>
      <c r="T3" s="26"/>
      <c r="U3" s="26"/>
      <c r="V3" s="26"/>
      <c r="W3" s="21"/>
      <c r="X3" s="21"/>
      <c r="Y3" s="21"/>
      <c r="Z3" s="21"/>
      <c r="AA3" s="21"/>
      <c r="AB3" s="33"/>
      <c r="AC3" s="33"/>
      <c r="AD3" s="33"/>
      <c r="AE3" s="33"/>
      <c r="AF3" s="33"/>
      <c r="AG3" s="33"/>
      <c r="AH3" s="33"/>
      <c r="AI3" s="33"/>
      <c r="AJ3" s="26"/>
      <c r="AK3" s="26"/>
      <c r="AL3" s="26"/>
      <c r="AM3" s="26"/>
      <c r="AN3" s="26"/>
      <c r="AO3" s="26"/>
      <c r="AP3" s="21"/>
      <c r="AQ3" s="21"/>
      <c r="AR3" s="56"/>
      <c r="AS3" s="38"/>
      <c r="AT3" s="38"/>
      <c r="BL3" s="67"/>
      <c r="BM3" s="67"/>
      <c r="BN3" s="67"/>
      <c r="BO3" s="67"/>
    </row>
    <row r="4" spans="1:67" ht="15" hidden="1" customHeight="1" x14ac:dyDescent="0.25">
      <c r="A4" s="22"/>
      <c r="B4" s="23"/>
      <c r="C4" s="23"/>
      <c r="D4" s="23"/>
      <c r="E4" s="38"/>
      <c r="F4" s="26"/>
      <c r="G4" s="26"/>
      <c r="H4" s="26"/>
      <c r="I4" s="26"/>
      <c r="J4" s="26"/>
      <c r="K4" s="27"/>
      <c r="L4" s="27"/>
      <c r="M4" s="29"/>
      <c r="N4" s="29"/>
      <c r="O4" s="29"/>
      <c r="P4" s="29"/>
      <c r="Q4" s="29"/>
      <c r="R4" s="29"/>
      <c r="S4" s="26"/>
      <c r="T4" s="26"/>
      <c r="U4" s="26"/>
      <c r="V4" s="26"/>
      <c r="W4" s="23"/>
      <c r="X4" s="23"/>
      <c r="Y4" s="23"/>
      <c r="Z4" s="23"/>
      <c r="AA4" s="23"/>
      <c r="AB4" s="34"/>
      <c r="AC4" s="34"/>
      <c r="AD4" s="34"/>
      <c r="AE4" s="34"/>
      <c r="AF4" s="34"/>
      <c r="AG4" s="34"/>
      <c r="AH4" s="34"/>
      <c r="AI4" s="34"/>
      <c r="AJ4" s="26"/>
      <c r="AK4" s="26"/>
      <c r="AL4" s="26"/>
      <c r="AM4" s="26"/>
      <c r="AN4" s="26"/>
      <c r="AO4" s="26"/>
      <c r="AP4" s="23"/>
      <c r="AQ4" s="23"/>
      <c r="AR4" s="56"/>
      <c r="AS4" s="38"/>
      <c r="AT4" s="38"/>
      <c r="BL4" s="67"/>
      <c r="BM4" s="67"/>
      <c r="BN4" s="67"/>
      <c r="BO4" s="67"/>
    </row>
    <row r="5" spans="1:67" ht="15" customHeight="1" x14ac:dyDescent="0.25">
      <c r="A5" s="244" t="s">
        <v>48</v>
      </c>
      <c r="B5" s="245"/>
      <c r="C5" s="246"/>
      <c r="D5" s="247" t="s">
        <v>63</v>
      </c>
      <c r="E5" s="254" t="s">
        <v>162</v>
      </c>
      <c r="F5" s="43"/>
      <c r="G5" s="37"/>
      <c r="H5" s="37"/>
      <c r="I5" s="37"/>
      <c r="J5" s="37"/>
      <c r="K5" s="249" t="s">
        <v>64</v>
      </c>
      <c r="L5" s="249"/>
      <c r="M5" s="249"/>
      <c r="N5" s="249"/>
      <c r="O5" s="249"/>
      <c r="P5" s="249"/>
      <c r="Q5" s="249"/>
      <c r="R5" s="249"/>
      <c r="S5" s="37"/>
      <c r="T5" s="37"/>
      <c r="U5" s="37"/>
      <c r="V5" s="37"/>
      <c r="W5" s="44"/>
      <c r="X5" s="24"/>
      <c r="Y5" s="24"/>
      <c r="Z5" s="24"/>
      <c r="AA5" s="24"/>
      <c r="AB5" s="257" t="s">
        <v>65</v>
      </c>
      <c r="AC5" s="257"/>
      <c r="AD5" s="257"/>
      <c r="AE5" s="257"/>
      <c r="AF5" s="257"/>
      <c r="AG5" s="257"/>
      <c r="AH5" s="257"/>
      <c r="AI5" s="257"/>
      <c r="AJ5" s="37"/>
      <c r="AK5" s="37"/>
      <c r="AL5" s="37"/>
      <c r="AM5" s="37"/>
      <c r="AN5" s="250" t="s">
        <v>61</v>
      </c>
      <c r="AO5" s="250"/>
      <c r="AP5" s="250" t="s">
        <v>68</v>
      </c>
      <c r="AQ5" s="244"/>
      <c r="AR5" s="251" t="s">
        <v>148</v>
      </c>
      <c r="AS5" s="249" t="s">
        <v>152</v>
      </c>
      <c r="AT5" s="249" t="s">
        <v>69</v>
      </c>
      <c r="AU5" s="258" t="s">
        <v>74</v>
      </c>
      <c r="AV5" s="249" t="s">
        <v>73</v>
      </c>
      <c r="AW5" s="249" t="s">
        <v>72</v>
      </c>
      <c r="AX5" s="249" t="s">
        <v>75</v>
      </c>
      <c r="BE5" s="259" t="s">
        <v>156</v>
      </c>
      <c r="BF5" s="259"/>
      <c r="BG5" s="259"/>
      <c r="BH5" s="259"/>
      <c r="BI5" s="259"/>
      <c r="BJ5" s="259"/>
      <c r="BK5" s="259"/>
    </row>
    <row r="6" spans="1:67" ht="15.75" x14ac:dyDescent="0.25">
      <c r="A6" s="45" t="s">
        <v>46</v>
      </c>
      <c r="B6" s="45" t="s">
        <v>47</v>
      </c>
      <c r="C6" s="46" t="s">
        <v>0</v>
      </c>
      <c r="D6" s="248"/>
      <c r="E6" s="255"/>
      <c r="F6" s="47"/>
      <c r="G6" s="47"/>
      <c r="H6" s="37"/>
      <c r="I6" s="48"/>
      <c r="J6" s="48"/>
      <c r="K6" s="249" t="s">
        <v>62</v>
      </c>
      <c r="L6" s="249"/>
      <c r="M6" s="250" t="s">
        <v>56</v>
      </c>
      <c r="N6" s="250"/>
      <c r="O6" s="250"/>
      <c r="P6" s="250"/>
      <c r="Q6" s="250"/>
      <c r="R6" s="250"/>
      <c r="S6" s="47"/>
      <c r="T6" s="47"/>
      <c r="U6" s="47"/>
      <c r="V6" s="49"/>
      <c r="W6" s="50"/>
      <c r="X6" s="47"/>
      <c r="Y6" s="37"/>
      <c r="Z6" s="48"/>
      <c r="AA6" s="48"/>
      <c r="AB6" s="249" t="s">
        <v>62</v>
      </c>
      <c r="AC6" s="249"/>
      <c r="AD6" s="250" t="s">
        <v>56</v>
      </c>
      <c r="AE6" s="250"/>
      <c r="AF6" s="250"/>
      <c r="AG6" s="250"/>
      <c r="AH6" s="250"/>
      <c r="AI6" s="250"/>
      <c r="AJ6" s="51"/>
      <c r="AK6" s="51"/>
      <c r="AL6" s="51"/>
      <c r="AM6" s="52"/>
      <c r="AN6" s="45" t="s">
        <v>3</v>
      </c>
      <c r="AO6" s="45" t="s">
        <v>57</v>
      </c>
      <c r="AP6" s="53" t="s">
        <v>52</v>
      </c>
      <c r="AQ6" s="54" t="s">
        <v>3</v>
      </c>
      <c r="AR6" s="252"/>
      <c r="AS6" s="250"/>
      <c r="AT6" s="249"/>
      <c r="AU6" s="258"/>
      <c r="AV6" s="249"/>
      <c r="AW6" s="249"/>
      <c r="AX6" s="249"/>
      <c r="BE6" s="263" t="s">
        <v>158</v>
      </c>
      <c r="BF6" s="264"/>
      <c r="BG6" s="68">
        <v>200</v>
      </c>
      <c r="BH6" s="260" t="s">
        <v>154</v>
      </c>
      <c r="BI6" s="261"/>
      <c r="BJ6" s="262"/>
      <c r="BK6" s="66">
        <v>10</v>
      </c>
    </row>
    <row r="7" spans="1:67" ht="15.75" x14ac:dyDescent="0.25">
      <c r="A7" s="45" t="s">
        <v>1</v>
      </c>
      <c r="B7" s="45" t="s">
        <v>1</v>
      </c>
      <c r="C7" s="46" t="s">
        <v>1</v>
      </c>
      <c r="D7" s="55" t="s">
        <v>2</v>
      </c>
      <c r="E7" s="256"/>
      <c r="F7" s="47"/>
      <c r="G7" s="47"/>
      <c r="H7" s="49"/>
      <c r="I7" s="47"/>
      <c r="J7" s="47"/>
      <c r="K7" s="49" t="s">
        <v>52</v>
      </c>
      <c r="L7" s="49" t="s">
        <v>3</v>
      </c>
      <c r="M7" s="19" t="s">
        <v>49</v>
      </c>
      <c r="N7" s="49" t="s">
        <v>50</v>
      </c>
      <c r="O7" s="49" t="s">
        <v>51</v>
      </c>
      <c r="P7" s="49" t="s">
        <v>53</v>
      </c>
      <c r="Q7" s="49" t="s">
        <v>54</v>
      </c>
      <c r="R7" s="18" t="s">
        <v>55</v>
      </c>
      <c r="S7" s="47"/>
      <c r="T7" s="47"/>
      <c r="U7" s="47"/>
      <c r="V7" s="49"/>
      <c r="W7" s="50"/>
      <c r="X7" s="47"/>
      <c r="Y7" s="49"/>
      <c r="Z7" s="47"/>
      <c r="AA7" s="47"/>
      <c r="AB7" s="49" t="s">
        <v>52</v>
      </c>
      <c r="AC7" s="49" t="s">
        <v>3</v>
      </c>
      <c r="AD7" s="49" t="s">
        <v>49</v>
      </c>
      <c r="AE7" s="49" t="s">
        <v>50</v>
      </c>
      <c r="AF7" s="49" t="s">
        <v>51</v>
      </c>
      <c r="AG7" s="49" t="s">
        <v>53</v>
      </c>
      <c r="AH7" s="49" t="s">
        <v>54</v>
      </c>
      <c r="AI7" s="18" t="s">
        <v>55</v>
      </c>
      <c r="AJ7" s="47"/>
      <c r="AK7" s="47"/>
      <c r="AL7" s="47"/>
      <c r="AM7" s="49"/>
      <c r="AN7" s="45" t="s">
        <v>1</v>
      </c>
      <c r="AO7" s="45" t="s">
        <v>1</v>
      </c>
      <c r="AP7" s="53"/>
      <c r="AQ7" s="54"/>
      <c r="AR7" s="253"/>
      <c r="AS7" s="250"/>
      <c r="AT7" s="249"/>
      <c r="AU7" s="258"/>
      <c r="AV7" s="249"/>
      <c r="AW7" s="249"/>
      <c r="AX7" s="249"/>
      <c r="BE7" s="263" t="s">
        <v>159</v>
      </c>
      <c r="BF7" s="264"/>
      <c r="BG7" s="68"/>
      <c r="BH7" s="265" t="s">
        <v>155</v>
      </c>
      <c r="BI7" s="266"/>
      <c r="BJ7" s="267"/>
      <c r="BK7" s="68">
        <v>3000</v>
      </c>
    </row>
    <row r="8" spans="1:67" x14ac:dyDescent="0.25">
      <c r="A8" s="16">
        <v>200</v>
      </c>
      <c r="B8" s="16">
        <v>400</v>
      </c>
      <c r="C8" s="16">
        <v>4300</v>
      </c>
      <c r="D8" s="17" t="s">
        <v>77</v>
      </c>
      <c r="E8" s="58">
        <v>400</v>
      </c>
      <c r="K8" s="30">
        <v>2</v>
      </c>
      <c r="L8" s="30">
        <v>16</v>
      </c>
      <c r="W8" s="42">
        <v>1</v>
      </c>
      <c r="AB8" s="35">
        <v>2</v>
      </c>
      <c r="AC8" s="35">
        <v>16</v>
      </c>
      <c r="AN8" s="16">
        <v>8</v>
      </c>
      <c r="AO8" s="16" t="s">
        <v>70</v>
      </c>
      <c r="AR8" s="57" t="s">
        <v>149</v>
      </c>
      <c r="AS8" s="16">
        <v>11900</v>
      </c>
      <c r="AT8" s="16" t="s">
        <v>163</v>
      </c>
      <c r="AU8" s="39" t="s">
        <v>76</v>
      </c>
      <c r="AW8" s="16">
        <v>1</v>
      </c>
      <c r="AX8" s="16" t="s">
        <v>71</v>
      </c>
    </row>
    <row r="9" spans="1:67" x14ac:dyDescent="0.25">
      <c r="A9" s="16">
        <v>200</v>
      </c>
      <c r="B9" s="16">
        <v>400</v>
      </c>
      <c r="C9" s="16">
        <v>5300</v>
      </c>
      <c r="D9" s="17" t="s">
        <v>78</v>
      </c>
      <c r="E9" s="58">
        <v>400</v>
      </c>
      <c r="K9" s="30">
        <v>2</v>
      </c>
      <c r="L9" s="30">
        <v>16</v>
      </c>
      <c r="W9" s="42">
        <v>1</v>
      </c>
      <c r="AB9" s="35">
        <v>2</v>
      </c>
      <c r="AC9" s="35">
        <v>16</v>
      </c>
      <c r="AN9" s="16">
        <v>8</v>
      </c>
      <c r="AO9" s="16" t="s">
        <v>70</v>
      </c>
      <c r="AR9" s="57" t="s">
        <v>150</v>
      </c>
      <c r="AS9" s="16">
        <v>11900</v>
      </c>
      <c r="AU9" s="39" t="s">
        <v>76</v>
      </c>
      <c r="AW9" s="16">
        <v>1</v>
      </c>
      <c r="AX9" s="16" t="s">
        <v>71</v>
      </c>
    </row>
    <row r="10" spans="1:67" x14ac:dyDescent="0.25">
      <c r="A10" s="16">
        <v>200</v>
      </c>
      <c r="B10" s="16">
        <v>400</v>
      </c>
      <c r="C10" s="16">
        <v>1900</v>
      </c>
      <c r="D10" s="17" t="s">
        <v>79</v>
      </c>
      <c r="E10" s="58">
        <v>400</v>
      </c>
      <c r="K10" s="30">
        <v>2</v>
      </c>
      <c r="L10" s="30">
        <v>16</v>
      </c>
      <c r="W10" s="42">
        <v>1</v>
      </c>
      <c r="AB10" s="35">
        <v>2</v>
      </c>
      <c r="AC10" s="35">
        <v>16</v>
      </c>
      <c r="AN10" s="16">
        <v>8</v>
      </c>
      <c r="AO10" s="16" t="s">
        <v>70</v>
      </c>
      <c r="AS10" s="16">
        <v>11900</v>
      </c>
      <c r="AU10" s="39" t="s">
        <v>76</v>
      </c>
      <c r="AW10" s="16">
        <v>1</v>
      </c>
      <c r="AX10" s="16" t="s">
        <v>71</v>
      </c>
    </row>
    <row r="11" spans="1:67" x14ac:dyDescent="0.25">
      <c r="A11" s="16">
        <v>200</v>
      </c>
      <c r="B11" s="16">
        <v>400</v>
      </c>
      <c r="C11" s="16">
        <v>1400</v>
      </c>
      <c r="D11" s="17" t="s">
        <v>80</v>
      </c>
      <c r="E11" s="58">
        <v>400</v>
      </c>
      <c r="K11" s="30">
        <v>2</v>
      </c>
      <c r="L11" s="30">
        <v>20</v>
      </c>
      <c r="O11" s="30">
        <v>2</v>
      </c>
      <c r="P11" s="30">
        <v>16</v>
      </c>
      <c r="W11" s="42">
        <v>1</v>
      </c>
      <c r="AB11" s="35">
        <v>2</v>
      </c>
      <c r="AC11" s="35">
        <v>16</v>
      </c>
      <c r="AN11" s="16">
        <v>8</v>
      </c>
      <c r="AO11" s="16" t="s">
        <v>81</v>
      </c>
      <c r="AR11" s="57" t="s">
        <v>151</v>
      </c>
      <c r="AS11" s="16">
        <v>11900</v>
      </c>
      <c r="AU11" s="39" t="s">
        <v>76</v>
      </c>
      <c r="AW11" s="16">
        <v>1</v>
      </c>
      <c r="AX11" s="16" t="s">
        <v>71</v>
      </c>
    </row>
    <row r="12" spans="1:67" x14ac:dyDescent="0.25">
      <c r="A12" s="16">
        <v>200</v>
      </c>
      <c r="B12" s="16">
        <v>400</v>
      </c>
      <c r="C12" s="16">
        <v>2500</v>
      </c>
      <c r="D12" s="17" t="s">
        <v>82</v>
      </c>
      <c r="E12" s="58">
        <v>400</v>
      </c>
      <c r="K12" s="30">
        <v>2</v>
      </c>
      <c r="L12" s="30">
        <v>20</v>
      </c>
      <c r="O12" s="30">
        <v>2</v>
      </c>
      <c r="P12" s="30">
        <v>16</v>
      </c>
      <c r="W12" s="42">
        <v>1</v>
      </c>
      <c r="AB12" s="35">
        <v>2</v>
      </c>
      <c r="AC12" s="35">
        <v>16</v>
      </c>
      <c r="AN12" s="16">
        <v>8</v>
      </c>
      <c r="AO12" s="16" t="s">
        <v>81</v>
      </c>
      <c r="AS12" s="16">
        <v>11900</v>
      </c>
      <c r="AU12" s="39" t="s">
        <v>76</v>
      </c>
      <c r="AW12" s="16">
        <v>1</v>
      </c>
      <c r="AX12" s="16" t="s">
        <v>71</v>
      </c>
    </row>
    <row r="13" spans="1:67" x14ac:dyDescent="0.25">
      <c r="A13" s="16">
        <v>200</v>
      </c>
      <c r="B13" s="16">
        <v>400</v>
      </c>
      <c r="C13" s="16">
        <v>5100</v>
      </c>
      <c r="D13" s="17" t="s">
        <v>83</v>
      </c>
      <c r="E13" s="58">
        <v>400</v>
      </c>
      <c r="K13" s="30">
        <v>2</v>
      </c>
      <c r="L13" s="30">
        <v>20</v>
      </c>
      <c r="O13" s="30">
        <v>2</v>
      </c>
      <c r="P13" s="30">
        <v>25</v>
      </c>
      <c r="W13" s="42">
        <v>1</v>
      </c>
      <c r="AB13" s="35">
        <v>2</v>
      </c>
      <c r="AC13" s="35">
        <v>16</v>
      </c>
      <c r="AN13" s="16">
        <v>8</v>
      </c>
      <c r="AO13" s="16" t="s">
        <v>81</v>
      </c>
      <c r="AS13" s="16">
        <v>11900</v>
      </c>
      <c r="AU13" s="39" t="s">
        <v>76</v>
      </c>
      <c r="AW13" s="16">
        <v>1</v>
      </c>
      <c r="AX13" s="16" t="s">
        <v>71</v>
      </c>
    </row>
    <row r="14" spans="1:67" x14ac:dyDescent="0.25">
      <c r="A14" s="16">
        <v>200</v>
      </c>
      <c r="B14" s="16">
        <v>400</v>
      </c>
      <c r="C14" s="16">
        <v>1900</v>
      </c>
      <c r="D14" s="17" t="s">
        <v>84</v>
      </c>
      <c r="E14" s="58">
        <v>400</v>
      </c>
      <c r="K14" s="30">
        <v>2</v>
      </c>
      <c r="L14" s="30">
        <v>20</v>
      </c>
      <c r="O14" s="30">
        <v>2</v>
      </c>
      <c r="P14" s="30">
        <v>25</v>
      </c>
      <c r="W14" s="42">
        <v>16.603017211240701</v>
      </c>
      <c r="AB14" s="35">
        <v>2</v>
      </c>
      <c r="AC14" s="35">
        <v>16</v>
      </c>
      <c r="AN14" s="16">
        <v>8</v>
      </c>
      <c r="AO14" s="16" t="s">
        <v>81</v>
      </c>
      <c r="AS14" s="16">
        <v>11900</v>
      </c>
      <c r="AU14" s="39" t="s">
        <v>76</v>
      </c>
      <c r="AW14" s="16">
        <v>1</v>
      </c>
      <c r="AX14" s="16" t="s">
        <v>71</v>
      </c>
    </row>
    <row r="15" spans="1:67" x14ac:dyDescent="0.25">
      <c r="A15" s="16">
        <v>200</v>
      </c>
      <c r="B15" s="16">
        <v>400</v>
      </c>
      <c r="C15" s="16">
        <v>1400</v>
      </c>
      <c r="D15" s="17" t="s">
        <v>85</v>
      </c>
      <c r="E15" s="58">
        <v>400</v>
      </c>
      <c r="K15" s="30">
        <v>2</v>
      </c>
      <c r="L15" s="30">
        <v>18</v>
      </c>
      <c r="O15" s="30">
        <v>2</v>
      </c>
      <c r="P15" s="30">
        <v>16</v>
      </c>
      <c r="W15" s="42">
        <v>1</v>
      </c>
      <c r="AB15" s="35">
        <v>2</v>
      </c>
      <c r="AC15" s="35">
        <v>16</v>
      </c>
      <c r="AN15" s="16">
        <v>8</v>
      </c>
      <c r="AO15" s="16" t="s">
        <v>81</v>
      </c>
      <c r="AS15" s="16">
        <v>11900</v>
      </c>
      <c r="AU15" s="39" t="s">
        <v>76</v>
      </c>
      <c r="AW15" s="16">
        <v>1</v>
      </c>
      <c r="AX15" s="16" t="s">
        <v>71</v>
      </c>
    </row>
    <row r="16" spans="1:67" x14ac:dyDescent="0.25">
      <c r="A16" s="16">
        <v>200</v>
      </c>
      <c r="B16" s="16">
        <v>400</v>
      </c>
      <c r="C16" s="16">
        <v>2650</v>
      </c>
      <c r="D16" s="17" t="s">
        <v>86</v>
      </c>
      <c r="E16" s="58">
        <v>400</v>
      </c>
      <c r="K16" s="30">
        <v>2</v>
      </c>
      <c r="L16" s="30">
        <v>18</v>
      </c>
      <c r="O16" s="30">
        <v>2</v>
      </c>
      <c r="P16" s="30">
        <v>16</v>
      </c>
      <c r="W16" s="42">
        <v>1</v>
      </c>
      <c r="AB16" s="35">
        <v>2</v>
      </c>
      <c r="AC16" s="35">
        <v>16</v>
      </c>
      <c r="AN16" s="16">
        <v>8</v>
      </c>
      <c r="AO16" s="16" t="s">
        <v>70</v>
      </c>
      <c r="AS16" s="16">
        <v>11900</v>
      </c>
      <c r="AU16" s="39" t="s">
        <v>76</v>
      </c>
      <c r="AW16" s="16">
        <v>1</v>
      </c>
      <c r="AX16" s="16" t="s">
        <v>71</v>
      </c>
    </row>
    <row r="17" spans="1:50" x14ac:dyDescent="0.25">
      <c r="A17" s="16">
        <v>200</v>
      </c>
      <c r="B17" s="16">
        <v>400</v>
      </c>
      <c r="C17" s="16">
        <v>5250</v>
      </c>
      <c r="D17" s="17" t="s">
        <v>87</v>
      </c>
      <c r="E17" s="58">
        <v>400</v>
      </c>
      <c r="K17" s="30">
        <v>2</v>
      </c>
      <c r="L17" s="30">
        <v>18</v>
      </c>
      <c r="O17" s="30">
        <v>2</v>
      </c>
      <c r="P17" s="30">
        <v>20</v>
      </c>
      <c r="W17" s="42">
        <v>1</v>
      </c>
      <c r="AB17" s="35">
        <v>2</v>
      </c>
      <c r="AC17" s="35">
        <v>16</v>
      </c>
      <c r="AN17" s="16">
        <v>8</v>
      </c>
      <c r="AO17" s="16" t="s">
        <v>81</v>
      </c>
      <c r="AS17" s="16">
        <v>11900</v>
      </c>
      <c r="AU17" s="39" t="s">
        <v>76</v>
      </c>
      <c r="AW17" s="16">
        <v>1</v>
      </c>
      <c r="AX17" s="16" t="s">
        <v>71</v>
      </c>
    </row>
    <row r="18" spans="1:50" x14ac:dyDescent="0.25">
      <c r="A18" s="16">
        <v>200</v>
      </c>
      <c r="B18" s="16">
        <v>400</v>
      </c>
      <c r="C18" s="16">
        <v>1900</v>
      </c>
      <c r="D18" s="17" t="s">
        <v>88</v>
      </c>
      <c r="E18" s="58">
        <v>400</v>
      </c>
      <c r="K18" s="30">
        <v>2</v>
      </c>
      <c r="L18" s="30">
        <v>18</v>
      </c>
      <c r="O18" s="30">
        <v>2</v>
      </c>
      <c r="P18" s="30">
        <v>20</v>
      </c>
      <c r="W18" s="42">
        <v>12.757335068018801</v>
      </c>
      <c r="AB18" s="35">
        <v>2</v>
      </c>
      <c r="AC18" s="35">
        <v>16</v>
      </c>
      <c r="AN18" s="16">
        <v>8</v>
      </c>
      <c r="AO18" s="16" t="s">
        <v>81</v>
      </c>
      <c r="AS18" s="16">
        <v>11900</v>
      </c>
      <c r="AU18" s="39" t="s">
        <v>76</v>
      </c>
      <c r="AW18" s="16">
        <v>1</v>
      </c>
      <c r="AX18" s="16" t="s">
        <v>71</v>
      </c>
    </row>
    <row r="19" spans="1:50" x14ac:dyDescent="0.25">
      <c r="A19" s="16">
        <v>200</v>
      </c>
      <c r="B19" s="16">
        <v>400</v>
      </c>
      <c r="C19" s="16">
        <v>2150</v>
      </c>
      <c r="D19" s="17" t="s">
        <v>89</v>
      </c>
      <c r="E19" s="58">
        <v>400</v>
      </c>
      <c r="K19" s="30">
        <v>2</v>
      </c>
      <c r="L19" s="30">
        <v>16</v>
      </c>
      <c r="W19" s="42">
        <v>1</v>
      </c>
      <c r="AB19" s="35">
        <v>2</v>
      </c>
      <c r="AC19" s="35">
        <v>16</v>
      </c>
      <c r="AN19" s="16">
        <v>8</v>
      </c>
      <c r="AO19" s="16" t="s">
        <v>70</v>
      </c>
      <c r="AS19" s="16">
        <v>13450</v>
      </c>
      <c r="AU19" s="39" t="s">
        <v>76</v>
      </c>
      <c r="AW19" s="16">
        <v>1</v>
      </c>
      <c r="AX19" s="16" t="s">
        <v>71</v>
      </c>
    </row>
    <row r="20" spans="1:50" x14ac:dyDescent="0.25">
      <c r="A20" s="16">
        <v>200</v>
      </c>
      <c r="B20" s="16">
        <v>400</v>
      </c>
      <c r="C20" s="16">
        <v>4100</v>
      </c>
      <c r="D20" s="17" t="s">
        <v>90</v>
      </c>
      <c r="E20" s="58">
        <v>400</v>
      </c>
      <c r="K20" s="30">
        <v>2</v>
      </c>
      <c r="L20" s="30">
        <v>16</v>
      </c>
      <c r="W20" s="42">
        <v>1</v>
      </c>
      <c r="AB20" s="35">
        <v>2</v>
      </c>
      <c r="AC20" s="35">
        <v>16</v>
      </c>
      <c r="AN20" s="16">
        <v>8</v>
      </c>
      <c r="AO20" s="16" t="s">
        <v>70</v>
      </c>
      <c r="AS20" s="16">
        <v>13450</v>
      </c>
      <c r="AU20" s="39" t="s">
        <v>76</v>
      </c>
      <c r="AW20" s="16">
        <v>1</v>
      </c>
      <c r="AX20" s="16" t="s">
        <v>71</v>
      </c>
    </row>
    <row r="21" spans="1:50" x14ac:dyDescent="0.25">
      <c r="A21" s="16">
        <v>200</v>
      </c>
      <c r="B21" s="16">
        <v>400</v>
      </c>
      <c r="C21" s="16">
        <v>4700</v>
      </c>
      <c r="D21" s="17" t="s">
        <v>91</v>
      </c>
      <c r="E21" s="58">
        <v>400</v>
      </c>
      <c r="K21" s="30">
        <v>2</v>
      </c>
      <c r="L21" s="30">
        <v>16</v>
      </c>
      <c r="W21" s="42">
        <v>1</v>
      </c>
      <c r="AB21" s="35">
        <v>2</v>
      </c>
      <c r="AC21" s="35">
        <v>16</v>
      </c>
      <c r="AN21" s="16">
        <v>8</v>
      </c>
      <c r="AO21" s="16" t="s">
        <v>70</v>
      </c>
      <c r="AS21" s="16">
        <v>13450</v>
      </c>
      <c r="AU21" s="39" t="s">
        <v>76</v>
      </c>
      <c r="AW21" s="16">
        <v>1</v>
      </c>
      <c r="AX21" s="16" t="s">
        <v>71</v>
      </c>
    </row>
    <row r="22" spans="1:50" x14ac:dyDescent="0.25">
      <c r="A22" s="16">
        <v>200</v>
      </c>
      <c r="B22" s="16">
        <v>400</v>
      </c>
      <c r="C22" s="16">
        <v>1900</v>
      </c>
      <c r="D22" s="17" t="s">
        <v>92</v>
      </c>
      <c r="E22" s="58">
        <v>400</v>
      </c>
      <c r="K22" s="30">
        <v>2</v>
      </c>
      <c r="L22" s="30">
        <v>16</v>
      </c>
      <c r="W22" s="42">
        <v>1</v>
      </c>
      <c r="AB22" s="35">
        <v>2</v>
      </c>
      <c r="AC22" s="35">
        <v>16</v>
      </c>
      <c r="AN22" s="16">
        <v>8</v>
      </c>
      <c r="AO22" s="16" t="s">
        <v>70</v>
      </c>
      <c r="AS22" s="16">
        <v>13450</v>
      </c>
      <c r="AU22" s="39" t="s">
        <v>76</v>
      </c>
      <c r="AW22" s="16">
        <v>1</v>
      </c>
      <c r="AX22" s="16" t="s">
        <v>71</v>
      </c>
    </row>
    <row r="23" spans="1:50" x14ac:dyDescent="0.25">
      <c r="A23" s="16">
        <v>200</v>
      </c>
      <c r="B23" s="16">
        <v>400</v>
      </c>
      <c r="C23" s="16">
        <v>1400</v>
      </c>
      <c r="D23" s="17" t="s">
        <v>93</v>
      </c>
      <c r="E23" s="58">
        <v>400</v>
      </c>
      <c r="K23" s="30">
        <v>2</v>
      </c>
      <c r="L23" s="30">
        <v>16</v>
      </c>
      <c r="O23" s="30">
        <v>2</v>
      </c>
      <c r="P23" s="30">
        <v>16</v>
      </c>
      <c r="W23" s="42">
        <v>1</v>
      </c>
      <c r="AB23" s="35">
        <v>2</v>
      </c>
      <c r="AC23" s="35">
        <v>16</v>
      </c>
      <c r="AN23" s="16">
        <v>8</v>
      </c>
      <c r="AO23" s="16" t="s">
        <v>70</v>
      </c>
      <c r="AS23" s="16">
        <v>25550</v>
      </c>
      <c r="AU23" s="39" t="s">
        <v>76</v>
      </c>
      <c r="AW23" s="16">
        <v>1</v>
      </c>
      <c r="AX23" s="16" t="s">
        <v>71</v>
      </c>
    </row>
    <row r="24" spans="1:50" x14ac:dyDescent="0.25">
      <c r="A24" s="16">
        <v>200</v>
      </c>
      <c r="B24" s="16">
        <v>400</v>
      </c>
      <c r="C24" s="16">
        <v>2600</v>
      </c>
      <c r="D24" s="17" t="s">
        <v>94</v>
      </c>
      <c r="E24" s="58">
        <v>400</v>
      </c>
      <c r="K24" s="30">
        <v>2</v>
      </c>
      <c r="L24" s="30">
        <v>16</v>
      </c>
      <c r="O24" s="30">
        <v>2</v>
      </c>
      <c r="P24" s="30">
        <v>16</v>
      </c>
      <c r="W24" s="42">
        <v>1</v>
      </c>
      <c r="AB24" s="35">
        <v>2</v>
      </c>
      <c r="AC24" s="35">
        <v>16</v>
      </c>
      <c r="AN24" s="16">
        <v>8</v>
      </c>
      <c r="AO24" s="16" t="s">
        <v>70</v>
      </c>
      <c r="AS24" s="16">
        <v>25550</v>
      </c>
      <c r="AU24" s="39" t="s">
        <v>76</v>
      </c>
      <c r="AW24" s="16">
        <v>1</v>
      </c>
      <c r="AX24" s="16" t="s">
        <v>71</v>
      </c>
    </row>
    <row r="25" spans="1:50" x14ac:dyDescent="0.25">
      <c r="A25" s="16">
        <v>200</v>
      </c>
      <c r="B25" s="16">
        <v>400</v>
      </c>
      <c r="C25" s="16">
        <v>5000</v>
      </c>
      <c r="D25" s="17" t="s">
        <v>95</v>
      </c>
      <c r="E25" s="58">
        <v>400</v>
      </c>
      <c r="K25" s="30">
        <v>2</v>
      </c>
      <c r="L25" s="30">
        <v>16</v>
      </c>
      <c r="O25" s="30">
        <v>2</v>
      </c>
      <c r="P25" s="30">
        <v>16</v>
      </c>
      <c r="W25" s="42">
        <v>1</v>
      </c>
      <c r="AB25" s="35">
        <v>2</v>
      </c>
      <c r="AC25" s="35">
        <v>16</v>
      </c>
      <c r="AN25" s="16">
        <v>8</v>
      </c>
      <c r="AO25" s="16" t="s">
        <v>81</v>
      </c>
      <c r="AS25" s="16">
        <v>25550</v>
      </c>
      <c r="AU25" s="39" t="s">
        <v>76</v>
      </c>
      <c r="AW25" s="16">
        <v>1</v>
      </c>
      <c r="AX25" s="16" t="s">
        <v>71</v>
      </c>
    </row>
    <row r="26" spans="1:50" x14ac:dyDescent="0.25">
      <c r="A26" s="16">
        <v>200</v>
      </c>
      <c r="B26" s="16">
        <v>400</v>
      </c>
      <c r="C26" s="16">
        <v>4050</v>
      </c>
      <c r="D26" s="17" t="s">
        <v>96</v>
      </c>
      <c r="E26" s="58">
        <v>400</v>
      </c>
      <c r="K26" s="30">
        <v>2</v>
      </c>
      <c r="L26" s="30">
        <v>16</v>
      </c>
      <c r="O26" s="30">
        <v>2</v>
      </c>
      <c r="P26" s="30">
        <v>16</v>
      </c>
      <c r="W26" s="42">
        <v>1</v>
      </c>
      <c r="AB26" s="35">
        <v>2</v>
      </c>
      <c r="AC26" s="35">
        <v>16</v>
      </c>
      <c r="AN26" s="16">
        <v>8</v>
      </c>
      <c r="AO26" s="16" t="s">
        <v>70</v>
      </c>
      <c r="AS26" s="16">
        <v>25550</v>
      </c>
      <c r="AU26" s="39" t="s">
        <v>76</v>
      </c>
      <c r="AW26" s="16">
        <v>1</v>
      </c>
      <c r="AX26" s="16" t="s">
        <v>71</v>
      </c>
    </row>
    <row r="27" spans="1:50" x14ac:dyDescent="0.25">
      <c r="A27" s="16">
        <v>200</v>
      </c>
      <c r="B27" s="16">
        <v>400</v>
      </c>
      <c r="C27" s="16">
        <v>3900</v>
      </c>
      <c r="D27" s="17" t="s">
        <v>97</v>
      </c>
      <c r="E27" s="58">
        <v>400</v>
      </c>
      <c r="K27" s="30">
        <v>2</v>
      </c>
      <c r="L27" s="30">
        <v>16</v>
      </c>
      <c r="W27" s="42">
        <v>1</v>
      </c>
      <c r="AB27" s="35">
        <v>2</v>
      </c>
      <c r="AC27" s="35">
        <v>16</v>
      </c>
      <c r="AN27" s="16">
        <v>8</v>
      </c>
      <c r="AO27" s="16" t="s">
        <v>70</v>
      </c>
      <c r="AS27" s="16">
        <v>25550</v>
      </c>
      <c r="AU27" s="39" t="s">
        <v>76</v>
      </c>
      <c r="AW27" s="16">
        <v>1</v>
      </c>
      <c r="AX27" s="16" t="s">
        <v>71</v>
      </c>
    </row>
    <row r="28" spans="1:50" x14ac:dyDescent="0.25">
      <c r="A28" s="16">
        <v>200</v>
      </c>
      <c r="B28" s="16">
        <v>400</v>
      </c>
      <c r="C28" s="16">
        <v>4500</v>
      </c>
      <c r="D28" s="17" t="s">
        <v>98</v>
      </c>
      <c r="E28" s="58">
        <v>400</v>
      </c>
      <c r="K28" s="30">
        <v>2</v>
      </c>
      <c r="L28" s="30">
        <v>16</v>
      </c>
      <c r="O28" s="30">
        <v>2</v>
      </c>
      <c r="P28" s="30">
        <v>18</v>
      </c>
      <c r="W28" s="42">
        <v>1</v>
      </c>
      <c r="AB28" s="35">
        <v>2</v>
      </c>
      <c r="AC28" s="35">
        <v>16</v>
      </c>
      <c r="AN28" s="16">
        <v>8</v>
      </c>
      <c r="AO28" s="16" t="s">
        <v>81</v>
      </c>
      <c r="AS28" s="16">
        <v>25550</v>
      </c>
      <c r="AU28" s="39" t="s">
        <v>76</v>
      </c>
      <c r="AW28" s="16">
        <v>1</v>
      </c>
      <c r="AX28" s="16" t="s">
        <v>71</v>
      </c>
    </row>
    <row r="29" spans="1:50" x14ac:dyDescent="0.25">
      <c r="A29" s="16">
        <v>200</v>
      </c>
      <c r="B29" s="16">
        <v>400</v>
      </c>
      <c r="C29" s="16">
        <v>1900</v>
      </c>
      <c r="D29" s="17" t="s">
        <v>99</v>
      </c>
      <c r="E29" s="58">
        <v>400</v>
      </c>
      <c r="K29" s="30">
        <v>2</v>
      </c>
      <c r="L29" s="30">
        <v>16</v>
      </c>
      <c r="O29" s="30">
        <v>2</v>
      </c>
      <c r="P29" s="30">
        <v>18</v>
      </c>
      <c r="W29" s="42">
        <v>8.7426905650720403</v>
      </c>
      <c r="AB29" s="35">
        <v>2</v>
      </c>
      <c r="AC29" s="35">
        <v>16</v>
      </c>
      <c r="AN29" s="16">
        <v>8</v>
      </c>
      <c r="AO29" s="16" t="s">
        <v>81</v>
      </c>
      <c r="AS29" s="16">
        <v>25550</v>
      </c>
      <c r="AU29" s="39" t="s">
        <v>76</v>
      </c>
      <c r="AW29" s="16">
        <v>1</v>
      </c>
      <c r="AX29" s="16" t="s">
        <v>71</v>
      </c>
    </row>
    <row r="30" spans="1:50" x14ac:dyDescent="0.25">
      <c r="A30" s="16">
        <v>200</v>
      </c>
      <c r="B30" s="16">
        <v>400</v>
      </c>
      <c r="C30" s="16">
        <v>1400</v>
      </c>
      <c r="D30" s="17" t="s">
        <v>100</v>
      </c>
      <c r="E30" s="58">
        <v>400</v>
      </c>
      <c r="K30" s="30">
        <v>2</v>
      </c>
      <c r="L30" s="30">
        <v>16</v>
      </c>
      <c r="W30" s="42">
        <v>1</v>
      </c>
      <c r="AB30" s="35">
        <v>2</v>
      </c>
      <c r="AC30" s="35">
        <v>16</v>
      </c>
      <c r="AN30" s="16">
        <v>8</v>
      </c>
      <c r="AO30" s="16" t="s">
        <v>70</v>
      </c>
      <c r="AS30" s="16">
        <v>1400</v>
      </c>
      <c r="AU30" s="39" t="s">
        <v>76</v>
      </c>
      <c r="AW30" s="16">
        <v>1</v>
      </c>
      <c r="AX30" s="16" t="s">
        <v>71</v>
      </c>
    </row>
    <row r="31" spans="1:50" x14ac:dyDescent="0.25">
      <c r="A31" s="16">
        <v>200</v>
      </c>
      <c r="B31" s="16">
        <v>400</v>
      </c>
      <c r="C31" s="16">
        <v>4600</v>
      </c>
      <c r="D31" s="17" t="s">
        <v>101</v>
      </c>
      <c r="E31" s="58">
        <v>400</v>
      </c>
      <c r="K31" s="30">
        <v>2</v>
      </c>
      <c r="L31" s="30">
        <v>20</v>
      </c>
      <c r="W31" s="42">
        <v>1</v>
      </c>
      <c r="AB31" s="35">
        <v>2</v>
      </c>
      <c r="AC31" s="35">
        <v>16</v>
      </c>
      <c r="AN31" s="16">
        <v>8</v>
      </c>
      <c r="AO31" s="16" t="s">
        <v>70</v>
      </c>
      <c r="AS31" s="16">
        <v>23950</v>
      </c>
      <c r="AU31" s="39" t="s">
        <v>76</v>
      </c>
      <c r="AW31" s="16">
        <v>1</v>
      </c>
      <c r="AX31" s="16" t="s">
        <v>71</v>
      </c>
    </row>
    <row r="32" spans="1:50" x14ac:dyDescent="0.25">
      <c r="A32" s="16">
        <v>200</v>
      </c>
      <c r="B32" s="16">
        <v>400</v>
      </c>
      <c r="C32" s="16">
        <v>3500</v>
      </c>
      <c r="D32" s="17" t="s">
        <v>102</v>
      </c>
      <c r="E32" s="58">
        <v>400</v>
      </c>
      <c r="K32" s="30">
        <v>2</v>
      </c>
      <c r="L32" s="30">
        <v>20</v>
      </c>
      <c r="W32" s="42">
        <v>1</v>
      </c>
      <c r="AB32" s="35">
        <v>2</v>
      </c>
      <c r="AC32" s="35">
        <v>16</v>
      </c>
      <c r="AN32" s="16">
        <v>8</v>
      </c>
      <c r="AO32" s="16" t="s">
        <v>70</v>
      </c>
      <c r="AS32" s="16">
        <v>23950</v>
      </c>
      <c r="AU32" s="39" t="s">
        <v>76</v>
      </c>
      <c r="AW32" s="16">
        <v>1</v>
      </c>
      <c r="AX32" s="16" t="s">
        <v>71</v>
      </c>
    </row>
    <row r="33" spans="1:50" x14ac:dyDescent="0.25">
      <c r="A33" s="16">
        <v>200</v>
      </c>
      <c r="B33" s="16">
        <v>400</v>
      </c>
      <c r="C33" s="16">
        <v>4150</v>
      </c>
      <c r="D33" s="17" t="s">
        <v>103</v>
      </c>
      <c r="E33" s="58">
        <v>400</v>
      </c>
      <c r="K33" s="30">
        <v>2</v>
      </c>
      <c r="L33" s="30">
        <v>20</v>
      </c>
      <c r="W33" s="42">
        <v>1</v>
      </c>
      <c r="AB33" s="35">
        <v>2</v>
      </c>
      <c r="AC33" s="35">
        <v>16</v>
      </c>
      <c r="AN33" s="16">
        <v>8</v>
      </c>
      <c r="AO33" s="16" t="s">
        <v>70</v>
      </c>
      <c r="AS33" s="16">
        <v>23950</v>
      </c>
      <c r="AU33" s="39" t="s">
        <v>76</v>
      </c>
      <c r="AW33" s="16">
        <v>1</v>
      </c>
      <c r="AX33" s="16" t="s">
        <v>71</v>
      </c>
    </row>
    <row r="34" spans="1:50" x14ac:dyDescent="0.25">
      <c r="A34" s="16">
        <v>200</v>
      </c>
      <c r="B34" s="16">
        <v>400</v>
      </c>
      <c r="C34" s="16">
        <v>3800</v>
      </c>
      <c r="D34" s="17" t="s">
        <v>104</v>
      </c>
      <c r="E34" s="58">
        <v>400</v>
      </c>
      <c r="K34" s="30">
        <v>2</v>
      </c>
      <c r="L34" s="30">
        <v>20</v>
      </c>
      <c r="W34" s="42">
        <v>1</v>
      </c>
      <c r="AB34" s="35">
        <v>2</v>
      </c>
      <c r="AC34" s="35">
        <v>16</v>
      </c>
      <c r="AN34" s="16">
        <v>8</v>
      </c>
      <c r="AO34" s="16" t="s">
        <v>70</v>
      </c>
      <c r="AS34" s="16">
        <v>23950</v>
      </c>
      <c r="AU34" s="39" t="s">
        <v>76</v>
      </c>
      <c r="AW34" s="16">
        <v>1</v>
      </c>
      <c r="AX34" s="16" t="s">
        <v>71</v>
      </c>
    </row>
    <row r="35" spans="1:50" x14ac:dyDescent="0.25">
      <c r="A35" s="16">
        <v>200</v>
      </c>
      <c r="B35" s="16">
        <v>400</v>
      </c>
      <c r="C35" s="16">
        <v>4600</v>
      </c>
      <c r="D35" s="17" t="s">
        <v>105</v>
      </c>
      <c r="E35" s="58">
        <v>400</v>
      </c>
      <c r="K35" s="30">
        <v>2</v>
      </c>
      <c r="L35" s="30">
        <v>20</v>
      </c>
      <c r="O35" s="30">
        <v>2</v>
      </c>
      <c r="P35" s="30">
        <v>25</v>
      </c>
      <c r="W35" s="42">
        <v>1</v>
      </c>
      <c r="AB35" s="35">
        <v>2</v>
      </c>
      <c r="AC35" s="35">
        <v>16</v>
      </c>
      <c r="AN35" s="16">
        <v>8</v>
      </c>
      <c r="AO35" s="16" t="s">
        <v>70</v>
      </c>
      <c r="AS35" s="16">
        <v>23950</v>
      </c>
      <c r="AU35" s="39" t="s">
        <v>76</v>
      </c>
      <c r="AW35" s="16">
        <v>1</v>
      </c>
      <c r="AX35" s="16" t="s">
        <v>71</v>
      </c>
    </row>
    <row r="36" spans="1:50" x14ac:dyDescent="0.25">
      <c r="A36" s="16">
        <v>200</v>
      </c>
      <c r="B36" s="16">
        <v>400</v>
      </c>
      <c r="C36" s="16">
        <v>1900</v>
      </c>
      <c r="D36" s="17" t="s">
        <v>106</v>
      </c>
      <c r="E36" s="58">
        <v>400</v>
      </c>
      <c r="K36" s="30">
        <v>2</v>
      </c>
      <c r="L36" s="30">
        <v>20</v>
      </c>
      <c r="O36" s="30">
        <v>2</v>
      </c>
      <c r="P36" s="30">
        <v>25</v>
      </c>
      <c r="W36" s="42">
        <v>9.5817093404563707</v>
      </c>
      <c r="AB36" s="35">
        <v>2</v>
      </c>
      <c r="AC36" s="35">
        <v>16</v>
      </c>
      <c r="AN36" s="16">
        <v>8</v>
      </c>
      <c r="AO36" s="16" t="s">
        <v>81</v>
      </c>
      <c r="AS36" s="16">
        <v>23950</v>
      </c>
      <c r="AU36" s="39" t="s">
        <v>76</v>
      </c>
      <c r="AW36" s="16">
        <v>1</v>
      </c>
      <c r="AX36" s="16" t="s">
        <v>71</v>
      </c>
    </row>
    <row r="37" spans="1:50" x14ac:dyDescent="0.25">
      <c r="A37" s="16">
        <v>200</v>
      </c>
      <c r="B37" s="16">
        <v>400</v>
      </c>
      <c r="C37" s="16">
        <v>4600</v>
      </c>
      <c r="D37" s="17" t="s">
        <v>107</v>
      </c>
      <c r="E37" s="58">
        <v>400</v>
      </c>
      <c r="K37" s="30">
        <v>2</v>
      </c>
      <c r="L37" s="30">
        <v>16</v>
      </c>
      <c r="W37" s="42">
        <v>1</v>
      </c>
      <c r="AB37" s="35">
        <v>2</v>
      </c>
      <c r="AC37" s="35">
        <v>16</v>
      </c>
      <c r="AN37" s="16">
        <v>8</v>
      </c>
      <c r="AO37" s="16" t="s">
        <v>70</v>
      </c>
      <c r="AS37" s="16">
        <v>16050</v>
      </c>
      <c r="AU37" s="39" t="s">
        <v>76</v>
      </c>
      <c r="AW37" s="16">
        <v>1</v>
      </c>
      <c r="AX37" s="16" t="s">
        <v>71</v>
      </c>
    </row>
    <row r="38" spans="1:50" x14ac:dyDescent="0.25">
      <c r="A38" s="16">
        <v>200</v>
      </c>
      <c r="B38" s="16">
        <v>400</v>
      </c>
      <c r="C38" s="16">
        <v>3300</v>
      </c>
      <c r="D38" s="17" t="s">
        <v>108</v>
      </c>
      <c r="E38" s="58">
        <v>400</v>
      </c>
      <c r="K38" s="30">
        <v>2</v>
      </c>
      <c r="L38" s="30">
        <v>16</v>
      </c>
      <c r="W38" s="42">
        <v>1</v>
      </c>
      <c r="AB38" s="35">
        <v>2</v>
      </c>
      <c r="AC38" s="35">
        <v>16</v>
      </c>
      <c r="AN38" s="16">
        <v>8</v>
      </c>
      <c r="AO38" s="16" t="s">
        <v>70</v>
      </c>
      <c r="AS38" s="16">
        <v>16050</v>
      </c>
      <c r="AU38" s="39" t="s">
        <v>76</v>
      </c>
      <c r="AW38" s="16">
        <v>1</v>
      </c>
      <c r="AX38" s="16" t="s">
        <v>71</v>
      </c>
    </row>
    <row r="39" spans="1:50" x14ac:dyDescent="0.25">
      <c r="A39" s="16">
        <v>200</v>
      </c>
      <c r="B39" s="16">
        <v>400</v>
      </c>
      <c r="C39" s="16">
        <v>4150</v>
      </c>
      <c r="D39" s="17" t="s">
        <v>109</v>
      </c>
      <c r="E39" s="58">
        <v>400</v>
      </c>
      <c r="K39" s="30">
        <v>2</v>
      </c>
      <c r="L39" s="30">
        <v>16</v>
      </c>
      <c r="W39" s="42">
        <v>1</v>
      </c>
      <c r="AB39" s="35">
        <v>2</v>
      </c>
      <c r="AC39" s="35">
        <v>16</v>
      </c>
      <c r="AN39" s="16">
        <v>8</v>
      </c>
      <c r="AO39" s="16" t="s">
        <v>70</v>
      </c>
      <c r="AS39" s="16">
        <v>16050</v>
      </c>
      <c r="AU39" s="39" t="s">
        <v>76</v>
      </c>
      <c r="AW39" s="16">
        <v>1</v>
      </c>
      <c r="AX39" s="16" t="s">
        <v>71</v>
      </c>
    </row>
    <row r="40" spans="1:50" x14ac:dyDescent="0.25">
      <c r="A40" s="16">
        <v>200</v>
      </c>
      <c r="B40" s="16">
        <v>400</v>
      </c>
      <c r="C40" s="16">
        <v>3200</v>
      </c>
      <c r="D40" s="17" t="s">
        <v>110</v>
      </c>
      <c r="E40" s="58">
        <v>400</v>
      </c>
      <c r="K40" s="30">
        <v>2</v>
      </c>
      <c r="L40" s="30">
        <v>16</v>
      </c>
      <c r="W40" s="42">
        <v>1</v>
      </c>
      <c r="AB40" s="35">
        <v>2</v>
      </c>
      <c r="AC40" s="35">
        <v>16</v>
      </c>
      <c r="AN40" s="16">
        <v>8</v>
      </c>
      <c r="AO40" s="16" t="s">
        <v>70</v>
      </c>
      <c r="AS40" s="16">
        <v>16050</v>
      </c>
      <c r="AU40" s="39" t="s">
        <v>76</v>
      </c>
      <c r="AW40" s="16">
        <v>1</v>
      </c>
      <c r="AX40" s="16" t="s">
        <v>71</v>
      </c>
    </row>
    <row r="41" spans="1:50" x14ac:dyDescent="0.25">
      <c r="A41" s="16">
        <v>200</v>
      </c>
      <c r="B41" s="16">
        <v>400</v>
      </c>
      <c r="C41" s="16">
        <v>4700</v>
      </c>
      <c r="D41" s="17" t="s">
        <v>111</v>
      </c>
      <c r="E41" s="58">
        <v>400</v>
      </c>
      <c r="K41" s="30">
        <v>2</v>
      </c>
      <c r="L41" s="30">
        <v>16</v>
      </c>
      <c r="O41" s="30">
        <v>2</v>
      </c>
      <c r="P41" s="30">
        <v>16</v>
      </c>
      <c r="W41" s="42">
        <v>1</v>
      </c>
      <c r="AB41" s="35">
        <v>2</v>
      </c>
      <c r="AC41" s="35">
        <v>16</v>
      </c>
      <c r="AN41" s="16">
        <v>8</v>
      </c>
      <c r="AO41" s="16" t="s">
        <v>70</v>
      </c>
      <c r="AS41" s="16">
        <v>6800</v>
      </c>
      <c r="AU41" s="39" t="s">
        <v>76</v>
      </c>
      <c r="AW41" s="16">
        <v>1</v>
      </c>
      <c r="AX41" s="16" t="s">
        <v>71</v>
      </c>
    </row>
    <row r="42" spans="1:50" x14ac:dyDescent="0.25">
      <c r="A42" s="16">
        <v>200</v>
      </c>
      <c r="B42" s="16">
        <v>400</v>
      </c>
      <c r="C42" s="16">
        <v>1900</v>
      </c>
      <c r="D42" s="17" t="s">
        <v>112</v>
      </c>
      <c r="E42" s="58">
        <v>400</v>
      </c>
      <c r="K42" s="30">
        <v>2</v>
      </c>
      <c r="L42" s="30">
        <v>16</v>
      </c>
      <c r="O42" s="30">
        <v>2</v>
      </c>
      <c r="P42" s="30">
        <v>16</v>
      </c>
      <c r="W42" s="42">
        <v>2.3050922746742399</v>
      </c>
      <c r="AB42" s="35">
        <v>2</v>
      </c>
      <c r="AC42" s="35">
        <v>16</v>
      </c>
      <c r="AN42" s="16">
        <v>8</v>
      </c>
      <c r="AO42" s="16" t="s">
        <v>70</v>
      </c>
      <c r="AS42" s="16">
        <v>6800</v>
      </c>
      <c r="AU42" s="39" t="s">
        <v>76</v>
      </c>
      <c r="AW42" s="16">
        <v>1</v>
      </c>
      <c r="AX42" s="16" t="s">
        <v>71</v>
      </c>
    </row>
    <row r="43" spans="1:50" x14ac:dyDescent="0.25">
      <c r="A43" s="16">
        <v>200</v>
      </c>
      <c r="B43" s="16">
        <v>400</v>
      </c>
      <c r="C43" s="16">
        <v>2300</v>
      </c>
      <c r="D43" s="17" t="s">
        <v>113</v>
      </c>
      <c r="E43" s="58">
        <v>400</v>
      </c>
      <c r="K43" s="30">
        <v>2</v>
      </c>
      <c r="L43" s="30">
        <v>16</v>
      </c>
      <c r="O43" s="30">
        <v>2</v>
      </c>
      <c r="P43" s="30">
        <v>16</v>
      </c>
      <c r="W43" s="42">
        <v>1</v>
      </c>
      <c r="AB43" s="35">
        <v>2</v>
      </c>
      <c r="AC43" s="35">
        <v>16</v>
      </c>
      <c r="AN43" s="16">
        <v>8</v>
      </c>
      <c r="AO43" s="16" t="s">
        <v>70</v>
      </c>
      <c r="AS43" s="16">
        <v>14450</v>
      </c>
      <c r="AU43" s="39" t="s">
        <v>76</v>
      </c>
      <c r="AW43" s="16">
        <v>1</v>
      </c>
      <c r="AX43" s="16" t="s">
        <v>71</v>
      </c>
    </row>
    <row r="44" spans="1:50" x14ac:dyDescent="0.25">
      <c r="A44" s="16">
        <v>200</v>
      </c>
      <c r="B44" s="16">
        <v>400</v>
      </c>
      <c r="C44" s="16">
        <v>4350</v>
      </c>
      <c r="D44" s="17" t="s">
        <v>114</v>
      </c>
      <c r="E44" s="58">
        <v>400</v>
      </c>
      <c r="K44" s="30">
        <v>2</v>
      </c>
      <c r="L44" s="30">
        <v>16</v>
      </c>
      <c r="O44" s="30">
        <v>2</v>
      </c>
      <c r="P44" s="30">
        <v>16</v>
      </c>
      <c r="W44" s="42">
        <v>1</v>
      </c>
      <c r="AB44" s="35">
        <v>2</v>
      </c>
      <c r="AC44" s="35">
        <v>16</v>
      </c>
      <c r="AN44" s="16">
        <v>8</v>
      </c>
      <c r="AO44" s="16" t="s">
        <v>70</v>
      </c>
      <c r="AS44" s="16">
        <v>14450</v>
      </c>
      <c r="AU44" s="39" t="s">
        <v>76</v>
      </c>
      <c r="AW44" s="16">
        <v>1</v>
      </c>
      <c r="AX44" s="16" t="s">
        <v>71</v>
      </c>
    </row>
    <row r="45" spans="1:50" x14ac:dyDescent="0.25">
      <c r="A45" s="16">
        <v>200</v>
      </c>
      <c r="B45" s="16">
        <v>400</v>
      </c>
      <c r="C45" s="16">
        <v>4350</v>
      </c>
      <c r="D45" s="17" t="s">
        <v>115</v>
      </c>
      <c r="E45" s="58">
        <v>400</v>
      </c>
      <c r="K45" s="30">
        <v>2</v>
      </c>
      <c r="L45" s="30">
        <v>16</v>
      </c>
      <c r="W45" s="42">
        <v>4.0609849063345296</v>
      </c>
      <c r="AB45" s="35">
        <v>2</v>
      </c>
      <c r="AC45" s="35">
        <v>16</v>
      </c>
      <c r="AN45" s="16">
        <v>8</v>
      </c>
      <c r="AO45" s="16" t="s">
        <v>70</v>
      </c>
      <c r="AS45" s="16">
        <v>14450</v>
      </c>
      <c r="AU45" s="39" t="s">
        <v>76</v>
      </c>
      <c r="AW45" s="16">
        <v>1</v>
      </c>
      <c r="AX45" s="16" t="s">
        <v>71</v>
      </c>
    </row>
    <row r="46" spans="1:50" x14ac:dyDescent="0.25">
      <c r="A46" s="16">
        <v>200</v>
      </c>
      <c r="B46" s="16">
        <v>400</v>
      </c>
      <c r="C46" s="16">
        <v>2850</v>
      </c>
      <c r="D46" s="17" t="s">
        <v>116</v>
      </c>
      <c r="E46" s="58">
        <v>400</v>
      </c>
      <c r="K46" s="30">
        <v>2</v>
      </c>
      <c r="L46" s="30">
        <v>16</v>
      </c>
      <c r="W46" s="42">
        <v>1</v>
      </c>
      <c r="AB46" s="35">
        <v>2</v>
      </c>
      <c r="AC46" s="35">
        <v>16</v>
      </c>
      <c r="AN46" s="16">
        <v>8</v>
      </c>
      <c r="AO46" s="16" t="s">
        <v>70</v>
      </c>
      <c r="AS46" s="16">
        <v>14450</v>
      </c>
      <c r="AU46" s="39" t="s">
        <v>76</v>
      </c>
      <c r="AW46" s="16">
        <v>1</v>
      </c>
      <c r="AX46" s="16" t="s">
        <v>71</v>
      </c>
    </row>
    <row r="47" spans="1:50" x14ac:dyDescent="0.25">
      <c r="A47" s="16">
        <v>200</v>
      </c>
      <c r="B47" s="16">
        <v>400</v>
      </c>
      <c r="C47" s="16">
        <v>2300</v>
      </c>
      <c r="D47" s="17" t="s">
        <v>117</v>
      </c>
      <c r="E47" s="58">
        <v>400</v>
      </c>
      <c r="K47" s="30">
        <v>2</v>
      </c>
      <c r="L47" s="30">
        <v>16</v>
      </c>
      <c r="O47" s="30">
        <v>2</v>
      </c>
      <c r="P47" s="30">
        <v>20</v>
      </c>
      <c r="W47" s="42">
        <v>1</v>
      </c>
      <c r="AB47" s="35">
        <v>2</v>
      </c>
      <c r="AC47" s="35">
        <v>16</v>
      </c>
      <c r="AN47" s="16">
        <v>8</v>
      </c>
      <c r="AO47" s="16" t="s">
        <v>81</v>
      </c>
      <c r="AS47" s="16">
        <v>19600</v>
      </c>
      <c r="AU47" s="39" t="s">
        <v>76</v>
      </c>
      <c r="AW47" s="16">
        <v>1</v>
      </c>
      <c r="AX47" s="16" t="s">
        <v>71</v>
      </c>
    </row>
    <row r="48" spans="1:50" x14ac:dyDescent="0.25">
      <c r="A48" s="16">
        <v>200</v>
      </c>
      <c r="B48" s="16">
        <v>400</v>
      </c>
      <c r="C48" s="16">
        <v>4350</v>
      </c>
      <c r="D48" s="17" t="s">
        <v>118</v>
      </c>
      <c r="E48" s="58">
        <v>400</v>
      </c>
      <c r="K48" s="30">
        <v>2</v>
      </c>
      <c r="L48" s="30">
        <v>16</v>
      </c>
      <c r="O48" s="30">
        <v>2</v>
      </c>
      <c r="P48" s="30">
        <v>20</v>
      </c>
      <c r="W48" s="42">
        <v>1</v>
      </c>
      <c r="AB48" s="35">
        <v>2</v>
      </c>
      <c r="AC48" s="35">
        <v>16</v>
      </c>
      <c r="AN48" s="16">
        <v>8</v>
      </c>
      <c r="AO48" s="16" t="s">
        <v>70</v>
      </c>
      <c r="AS48" s="16">
        <v>19600</v>
      </c>
      <c r="AU48" s="39" t="s">
        <v>76</v>
      </c>
      <c r="AW48" s="16">
        <v>1</v>
      </c>
      <c r="AX48" s="16" t="s">
        <v>71</v>
      </c>
    </row>
    <row r="49" spans="1:50" x14ac:dyDescent="0.25">
      <c r="A49" s="16">
        <v>200</v>
      </c>
      <c r="B49" s="16">
        <v>400</v>
      </c>
      <c r="C49" s="16">
        <v>4350</v>
      </c>
      <c r="D49" s="17" t="s">
        <v>119</v>
      </c>
      <c r="E49" s="58">
        <v>400</v>
      </c>
      <c r="K49" s="30">
        <v>2</v>
      </c>
      <c r="L49" s="30">
        <v>16</v>
      </c>
      <c r="W49" s="42">
        <v>1</v>
      </c>
      <c r="AB49" s="35">
        <v>2</v>
      </c>
      <c r="AC49" s="35">
        <v>16</v>
      </c>
      <c r="AN49" s="16">
        <v>8</v>
      </c>
      <c r="AO49" s="16" t="s">
        <v>70</v>
      </c>
      <c r="AS49" s="16">
        <v>19600</v>
      </c>
      <c r="AU49" s="39" t="s">
        <v>76</v>
      </c>
      <c r="AW49" s="16">
        <v>1</v>
      </c>
      <c r="AX49" s="16" t="s">
        <v>71</v>
      </c>
    </row>
    <row r="50" spans="1:50" x14ac:dyDescent="0.25">
      <c r="A50" s="16">
        <v>200</v>
      </c>
      <c r="B50" s="16">
        <v>400</v>
      </c>
      <c r="C50" s="16">
        <v>2850</v>
      </c>
      <c r="D50" s="17" t="s">
        <v>120</v>
      </c>
      <c r="E50" s="58">
        <v>400</v>
      </c>
      <c r="K50" s="30">
        <v>2</v>
      </c>
      <c r="L50" s="30">
        <v>16</v>
      </c>
      <c r="W50" s="42">
        <v>1</v>
      </c>
      <c r="AB50" s="35">
        <v>2</v>
      </c>
      <c r="AC50" s="35">
        <v>16</v>
      </c>
      <c r="AN50" s="16">
        <v>8</v>
      </c>
      <c r="AO50" s="16" t="s">
        <v>70</v>
      </c>
      <c r="AS50" s="16">
        <v>19600</v>
      </c>
      <c r="AU50" s="39" t="s">
        <v>76</v>
      </c>
      <c r="AW50" s="16">
        <v>1</v>
      </c>
      <c r="AX50" s="16" t="s">
        <v>71</v>
      </c>
    </row>
    <row r="51" spans="1:50" x14ac:dyDescent="0.25">
      <c r="A51" s="16">
        <v>200</v>
      </c>
      <c r="B51" s="16">
        <v>400</v>
      </c>
      <c r="C51" s="16">
        <v>4950</v>
      </c>
      <c r="D51" s="17" t="s">
        <v>121</v>
      </c>
      <c r="E51" s="58">
        <v>400</v>
      </c>
      <c r="K51" s="30">
        <v>2</v>
      </c>
      <c r="L51" s="30">
        <v>16</v>
      </c>
      <c r="W51" s="42">
        <v>10.908305855297501</v>
      </c>
      <c r="AB51" s="35">
        <v>2</v>
      </c>
      <c r="AC51" s="35">
        <v>16</v>
      </c>
      <c r="AN51" s="16">
        <v>8</v>
      </c>
      <c r="AO51" s="16" t="s">
        <v>70</v>
      </c>
      <c r="AS51" s="16">
        <v>19600</v>
      </c>
      <c r="AU51" s="39" t="s">
        <v>76</v>
      </c>
      <c r="AW51" s="16">
        <v>1</v>
      </c>
      <c r="AX51" s="16" t="s">
        <v>71</v>
      </c>
    </row>
    <row r="52" spans="1:50" x14ac:dyDescent="0.25">
      <c r="A52" s="16">
        <v>600</v>
      </c>
      <c r="B52" s="16">
        <v>400</v>
      </c>
      <c r="C52" s="16">
        <v>2200</v>
      </c>
      <c r="D52" s="17" t="s">
        <v>122</v>
      </c>
      <c r="E52" s="58">
        <v>400</v>
      </c>
      <c r="K52" s="30">
        <v>5</v>
      </c>
      <c r="L52" s="30">
        <v>16</v>
      </c>
      <c r="O52" s="30">
        <v>5</v>
      </c>
      <c r="P52" s="30">
        <v>18</v>
      </c>
      <c r="W52" s="42">
        <v>1</v>
      </c>
      <c r="AB52" s="35">
        <v>5</v>
      </c>
      <c r="AC52" s="35">
        <v>16</v>
      </c>
      <c r="AN52" s="16">
        <v>8</v>
      </c>
      <c r="AO52" s="16" t="s">
        <v>70</v>
      </c>
      <c r="AS52" s="16">
        <v>15100</v>
      </c>
      <c r="AU52" s="39" t="s">
        <v>76</v>
      </c>
      <c r="AW52" s="16">
        <v>1</v>
      </c>
      <c r="AX52" s="16" t="s">
        <v>71</v>
      </c>
    </row>
    <row r="53" spans="1:50" x14ac:dyDescent="0.25">
      <c r="A53" s="16">
        <v>600</v>
      </c>
      <c r="B53" s="16">
        <v>400</v>
      </c>
      <c r="C53" s="16">
        <v>4250</v>
      </c>
      <c r="D53" s="17" t="s">
        <v>123</v>
      </c>
      <c r="E53" s="58">
        <v>400</v>
      </c>
      <c r="K53" s="30">
        <v>5</v>
      </c>
      <c r="L53" s="30">
        <v>16</v>
      </c>
      <c r="O53" s="30">
        <v>5</v>
      </c>
      <c r="P53" s="30">
        <v>18</v>
      </c>
      <c r="W53" s="42">
        <v>1</v>
      </c>
      <c r="AB53" s="35">
        <v>5</v>
      </c>
      <c r="AC53" s="35">
        <v>16</v>
      </c>
      <c r="AN53" s="16">
        <v>8</v>
      </c>
      <c r="AO53" s="16" t="s">
        <v>70</v>
      </c>
      <c r="AS53" s="16">
        <v>15100</v>
      </c>
      <c r="AU53" s="39" t="s">
        <v>76</v>
      </c>
      <c r="AW53" s="16">
        <v>1</v>
      </c>
      <c r="AX53" s="16" t="s">
        <v>71</v>
      </c>
    </row>
    <row r="54" spans="1:50" x14ac:dyDescent="0.25">
      <c r="A54" s="16">
        <v>600</v>
      </c>
      <c r="B54" s="16">
        <v>400</v>
      </c>
      <c r="C54" s="16">
        <v>4150</v>
      </c>
      <c r="D54" s="17" t="s">
        <v>124</v>
      </c>
      <c r="E54" s="58">
        <v>400</v>
      </c>
      <c r="K54" s="30">
        <v>5</v>
      </c>
      <c r="L54" s="30">
        <v>16</v>
      </c>
      <c r="W54" s="42">
        <v>1</v>
      </c>
      <c r="AB54" s="35">
        <v>5</v>
      </c>
      <c r="AC54" s="35">
        <v>16</v>
      </c>
      <c r="AN54" s="16">
        <v>8</v>
      </c>
      <c r="AO54" s="16" t="s">
        <v>70</v>
      </c>
      <c r="AS54" s="16">
        <v>15100</v>
      </c>
      <c r="AU54" s="39" t="s">
        <v>76</v>
      </c>
      <c r="AW54" s="16">
        <v>1</v>
      </c>
      <c r="AX54" s="16" t="s">
        <v>71</v>
      </c>
    </row>
    <row r="55" spans="1:50" x14ac:dyDescent="0.25">
      <c r="A55" s="16">
        <v>600</v>
      </c>
      <c r="B55" s="16">
        <v>400</v>
      </c>
      <c r="C55" s="16">
        <v>3300</v>
      </c>
      <c r="D55" s="17" t="s">
        <v>125</v>
      </c>
      <c r="E55" s="58">
        <v>400</v>
      </c>
      <c r="K55" s="30">
        <v>5</v>
      </c>
      <c r="L55" s="30">
        <v>16</v>
      </c>
      <c r="W55" s="42">
        <v>1</v>
      </c>
      <c r="AB55" s="35">
        <v>5</v>
      </c>
      <c r="AC55" s="35">
        <v>16</v>
      </c>
      <c r="AN55" s="16">
        <v>8</v>
      </c>
      <c r="AO55" s="16" t="s">
        <v>70</v>
      </c>
      <c r="AS55" s="16">
        <v>15100</v>
      </c>
      <c r="AU55" s="39" t="s">
        <v>76</v>
      </c>
      <c r="AW55" s="16">
        <v>1</v>
      </c>
      <c r="AX55" s="16" t="s">
        <v>71</v>
      </c>
    </row>
    <row r="56" spans="1:50" x14ac:dyDescent="0.25">
      <c r="A56" s="16">
        <v>200</v>
      </c>
      <c r="B56" s="16">
        <v>400</v>
      </c>
      <c r="C56" s="16">
        <v>3600</v>
      </c>
      <c r="D56" s="17" t="s">
        <v>126</v>
      </c>
      <c r="E56" s="58">
        <v>400</v>
      </c>
      <c r="K56" s="30">
        <v>2</v>
      </c>
      <c r="L56" s="30">
        <v>16</v>
      </c>
      <c r="W56" s="42">
        <v>1</v>
      </c>
      <c r="AB56" s="35">
        <v>2</v>
      </c>
      <c r="AC56" s="35">
        <v>16</v>
      </c>
      <c r="AN56" s="16">
        <v>8</v>
      </c>
      <c r="AO56" s="16" t="s">
        <v>70</v>
      </c>
      <c r="AS56" s="16">
        <v>8000</v>
      </c>
      <c r="AU56" s="39" t="s">
        <v>76</v>
      </c>
      <c r="AW56" s="16">
        <v>1</v>
      </c>
      <c r="AX56" s="16" t="s">
        <v>71</v>
      </c>
    </row>
    <row r="57" spans="1:50" x14ac:dyDescent="0.25">
      <c r="A57" s="16">
        <v>200</v>
      </c>
      <c r="B57" s="16">
        <v>400</v>
      </c>
      <c r="C57" s="16">
        <v>4200</v>
      </c>
      <c r="D57" s="17" t="s">
        <v>127</v>
      </c>
      <c r="E57" s="58">
        <v>400</v>
      </c>
      <c r="K57" s="30">
        <v>2</v>
      </c>
      <c r="L57" s="30">
        <v>16</v>
      </c>
      <c r="W57" s="42">
        <v>13.107958869249501</v>
      </c>
      <c r="AB57" s="35">
        <v>2</v>
      </c>
      <c r="AC57" s="35">
        <v>16</v>
      </c>
      <c r="AN57" s="16">
        <v>8</v>
      </c>
      <c r="AO57" s="16" t="s">
        <v>70</v>
      </c>
      <c r="AS57" s="16">
        <v>8000</v>
      </c>
      <c r="AU57" s="39" t="s">
        <v>76</v>
      </c>
      <c r="AW57" s="16">
        <v>1</v>
      </c>
      <c r="AX57" s="16" t="s">
        <v>71</v>
      </c>
    </row>
    <row r="58" spans="1:50" x14ac:dyDescent="0.25">
      <c r="A58" s="16">
        <v>200</v>
      </c>
      <c r="B58" s="16">
        <v>400</v>
      </c>
      <c r="C58" s="16">
        <v>2100</v>
      </c>
      <c r="D58" s="17" t="s">
        <v>128</v>
      </c>
      <c r="E58" s="58">
        <v>400</v>
      </c>
      <c r="K58" s="30">
        <v>2</v>
      </c>
      <c r="L58" s="30">
        <v>20</v>
      </c>
      <c r="O58" s="30">
        <v>2</v>
      </c>
      <c r="P58" s="30">
        <v>25</v>
      </c>
      <c r="W58" s="42">
        <v>1</v>
      </c>
      <c r="AB58" s="35">
        <v>2</v>
      </c>
      <c r="AC58" s="35">
        <v>16</v>
      </c>
      <c r="AN58" s="16">
        <v>8</v>
      </c>
      <c r="AO58" s="16" t="s">
        <v>81</v>
      </c>
      <c r="AS58" s="16">
        <v>14600</v>
      </c>
      <c r="AU58" s="39" t="s">
        <v>76</v>
      </c>
      <c r="AW58" s="16">
        <v>1</v>
      </c>
      <c r="AX58" s="16" t="s">
        <v>71</v>
      </c>
    </row>
    <row r="59" spans="1:50" x14ac:dyDescent="0.25">
      <c r="A59" s="16">
        <v>200</v>
      </c>
      <c r="B59" s="16">
        <v>400</v>
      </c>
      <c r="C59" s="16">
        <v>4150</v>
      </c>
      <c r="D59" s="17" t="s">
        <v>129</v>
      </c>
      <c r="E59" s="58">
        <v>400</v>
      </c>
      <c r="K59" s="30">
        <v>2</v>
      </c>
      <c r="L59" s="30">
        <v>20</v>
      </c>
      <c r="O59" s="30">
        <v>2</v>
      </c>
      <c r="P59" s="30">
        <v>25</v>
      </c>
      <c r="W59" s="42">
        <v>1</v>
      </c>
      <c r="AB59" s="35">
        <v>2</v>
      </c>
      <c r="AC59" s="35">
        <v>16</v>
      </c>
      <c r="AN59" s="16">
        <v>8</v>
      </c>
      <c r="AO59" s="16" t="s">
        <v>81</v>
      </c>
      <c r="AS59" s="16">
        <v>14600</v>
      </c>
      <c r="AU59" s="39" t="s">
        <v>76</v>
      </c>
      <c r="AW59" s="16">
        <v>1</v>
      </c>
      <c r="AX59" s="16" t="s">
        <v>71</v>
      </c>
    </row>
    <row r="60" spans="1:50" x14ac:dyDescent="0.25">
      <c r="A60" s="16">
        <v>200</v>
      </c>
      <c r="B60" s="16">
        <v>400</v>
      </c>
      <c r="C60" s="16">
        <v>4350</v>
      </c>
      <c r="D60" s="17" t="s">
        <v>130</v>
      </c>
      <c r="E60" s="58">
        <v>400</v>
      </c>
      <c r="K60" s="30">
        <v>2</v>
      </c>
      <c r="L60" s="30">
        <v>20</v>
      </c>
      <c r="W60" s="42">
        <v>1</v>
      </c>
      <c r="AB60" s="35">
        <v>2</v>
      </c>
      <c r="AC60" s="35">
        <v>16</v>
      </c>
      <c r="AN60" s="16">
        <v>8</v>
      </c>
      <c r="AO60" s="16" t="s">
        <v>70</v>
      </c>
      <c r="AS60" s="16">
        <v>14600</v>
      </c>
      <c r="AU60" s="39" t="s">
        <v>76</v>
      </c>
      <c r="AW60" s="16">
        <v>1</v>
      </c>
      <c r="AX60" s="16" t="s">
        <v>71</v>
      </c>
    </row>
    <row r="61" spans="1:50" x14ac:dyDescent="0.25">
      <c r="A61" s="16">
        <v>200</v>
      </c>
      <c r="B61" s="16">
        <v>400</v>
      </c>
      <c r="C61" s="16">
        <v>3000</v>
      </c>
      <c r="D61" s="17" t="s">
        <v>131</v>
      </c>
      <c r="E61" s="58">
        <v>400</v>
      </c>
      <c r="K61" s="30">
        <v>2</v>
      </c>
      <c r="L61" s="30">
        <v>20</v>
      </c>
      <c r="W61" s="42">
        <v>19.968074982100301</v>
      </c>
      <c r="AB61" s="35">
        <v>2</v>
      </c>
      <c r="AC61" s="35">
        <v>16</v>
      </c>
      <c r="AN61" s="16">
        <v>8</v>
      </c>
      <c r="AO61" s="16" t="s">
        <v>70</v>
      </c>
      <c r="AS61" s="16">
        <v>14600</v>
      </c>
      <c r="AU61" s="39" t="s">
        <v>76</v>
      </c>
      <c r="AW61" s="16">
        <v>1</v>
      </c>
      <c r="AX61" s="16" t="s">
        <v>71</v>
      </c>
    </row>
    <row r="62" spans="1:50" x14ac:dyDescent="0.25">
      <c r="A62" s="16">
        <v>200</v>
      </c>
      <c r="B62" s="16">
        <v>400</v>
      </c>
      <c r="C62" s="16">
        <v>3600</v>
      </c>
      <c r="D62" s="17" t="s">
        <v>132</v>
      </c>
      <c r="E62" s="58">
        <v>400</v>
      </c>
      <c r="K62" s="30">
        <v>2</v>
      </c>
      <c r="L62" s="30">
        <v>16</v>
      </c>
      <c r="O62" s="30">
        <v>2</v>
      </c>
      <c r="P62" s="30">
        <v>16</v>
      </c>
      <c r="W62" s="42">
        <v>9.3239450298806403</v>
      </c>
      <c r="AB62" s="35">
        <v>2</v>
      </c>
      <c r="AC62" s="35">
        <v>16</v>
      </c>
      <c r="AN62" s="16">
        <v>8</v>
      </c>
      <c r="AO62" s="16" t="s">
        <v>81</v>
      </c>
      <c r="AS62" s="16">
        <v>3600</v>
      </c>
      <c r="AU62" s="39" t="s">
        <v>76</v>
      </c>
      <c r="AW62" s="16">
        <v>1</v>
      </c>
      <c r="AX62" s="16" t="s">
        <v>71</v>
      </c>
    </row>
    <row r="63" spans="1:50" x14ac:dyDescent="0.25">
      <c r="A63" s="16">
        <v>200</v>
      </c>
      <c r="B63" s="16">
        <v>400</v>
      </c>
      <c r="C63" s="16">
        <v>2300</v>
      </c>
      <c r="D63" s="17" t="s">
        <v>133</v>
      </c>
      <c r="E63" s="58">
        <v>400</v>
      </c>
      <c r="K63" s="30">
        <v>2</v>
      </c>
      <c r="L63" s="30">
        <v>16</v>
      </c>
      <c r="O63" s="30">
        <v>2</v>
      </c>
      <c r="P63" s="30">
        <v>16</v>
      </c>
      <c r="W63" s="42">
        <v>1</v>
      </c>
      <c r="AB63" s="35">
        <v>2</v>
      </c>
      <c r="AC63" s="35">
        <v>16</v>
      </c>
      <c r="AN63" s="16">
        <v>8</v>
      </c>
      <c r="AO63" s="16" t="s">
        <v>70</v>
      </c>
      <c r="AS63" s="16">
        <v>11400</v>
      </c>
      <c r="AU63" s="39" t="s">
        <v>76</v>
      </c>
      <c r="AW63" s="16">
        <v>1</v>
      </c>
      <c r="AX63" s="16" t="s">
        <v>71</v>
      </c>
    </row>
    <row r="64" spans="1:50" x14ac:dyDescent="0.25">
      <c r="A64" s="16">
        <v>200</v>
      </c>
      <c r="B64" s="16">
        <v>400</v>
      </c>
      <c r="C64" s="16">
        <v>4350</v>
      </c>
      <c r="D64" s="17" t="s">
        <v>134</v>
      </c>
      <c r="E64" s="58">
        <v>400</v>
      </c>
      <c r="K64" s="30">
        <v>2</v>
      </c>
      <c r="L64" s="30">
        <v>16</v>
      </c>
      <c r="O64" s="30">
        <v>2</v>
      </c>
      <c r="P64" s="30">
        <v>16</v>
      </c>
      <c r="W64" s="42">
        <v>1</v>
      </c>
      <c r="AB64" s="35">
        <v>2</v>
      </c>
      <c r="AC64" s="35">
        <v>16</v>
      </c>
      <c r="AN64" s="16">
        <v>8</v>
      </c>
      <c r="AO64" s="16" t="s">
        <v>70</v>
      </c>
      <c r="AS64" s="16">
        <v>11400</v>
      </c>
      <c r="AU64" s="39" t="s">
        <v>76</v>
      </c>
      <c r="AW64" s="16">
        <v>1</v>
      </c>
      <c r="AX64" s="16" t="s">
        <v>71</v>
      </c>
    </row>
    <row r="65" spans="1:50" x14ac:dyDescent="0.25">
      <c r="A65" s="16">
        <v>200</v>
      </c>
      <c r="B65" s="16">
        <v>400</v>
      </c>
      <c r="C65" s="16">
        <v>4350</v>
      </c>
      <c r="D65" s="17" t="s">
        <v>135</v>
      </c>
      <c r="E65" s="58">
        <v>400</v>
      </c>
      <c r="K65" s="30">
        <v>2</v>
      </c>
      <c r="L65" s="30">
        <v>16</v>
      </c>
      <c r="W65" s="42">
        <v>1</v>
      </c>
      <c r="AB65" s="35">
        <v>2</v>
      </c>
      <c r="AC65" s="35">
        <v>16</v>
      </c>
      <c r="AN65" s="16">
        <v>8</v>
      </c>
      <c r="AO65" s="16" t="s">
        <v>70</v>
      </c>
      <c r="AS65" s="16">
        <v>11400</v>
      </c>
      <c r="AU65" s="39" t="s">
        <v>76</v>
      </c>
      <c r="AW65" s="16">
        <v>1</v>
      </c>
      <c r="AX65" s="16" t="s">
        <v>71</v>
      </c>
    </row>
    <row r="66" spans="1:50" x14ac:dyDescent="0.25">
      <c r="A66" s="16">
        <v>200</v>
      </c>
      <c r="B66" s="16">
        <v>400</v>
      </c>
      <c r="C66" s="16">
        <v>1400</v>
      </c>
      <c r="D66" s="17" t="s">
        <v>136</v>
      </c>
      <c r="E66" s="58">
        <v>400</v>
      </c>
      <c r="K66" s="30">
        <v>2</v>
      </c>
      <c r="L66" s="30">
        <v>16</v>
      </c>
      <c r="O66" s="30">
        <v>2</v>
      </c>
      <c r="P66" s="30">
        <v>16</v>
      </c>
      <c r="W66" s="42">
        <v>1</v>
      </c>
      <c r="AB66" s="35">
        <v>2</v>
      </c>
      <c r="AC66" s="35">
        <v>16</v>
      </c>
      <c r="AN66" s="16">
        <v>8</v>
      </c>
      <c r="AO66" s="16" t="s">
        <v>81</v>
      </c>
      <c r="AS66" s="16">
        <v>9600</v>
      </c>
      <c r="AU66" s="39" t="s">
        <v>76</v>
      </c>
      <c r="AW66" s="16">
        <v>1</v>
      </c>
      <c r="AX66" s="16" t="s">
        <v>71</v>
      </c>
    </row>
    <row r="67" spans="1:50" x14ac:dyDescent="0.25">
      <c r="A67" s="16">
        <v>200</v>
      </c>
      <c r="B67" s="16">
        <v>400</v>
      </c>
      <c r="C67" s="16">
        <v>3500</v>
      </c>
      <c r="D67" s="17" t="s">
        <v>137</v>
      </c>
      <c r="E67" s="58">
        <v>400</v>
      </c>
      <c r="K67" s="30">
        <v>2</v>
      </c>
      <c r="L67" s="30">
        <v>16</v>
      </c>
      <c r="O67" s="30">
        <v>2</v>
      </c>
      <c r="P67" s="30">
        <v>16</v>
      </c>
      <c r="W67" s="42">
        <v>1</v>
      </c>
      <c r="AB67" s="35">
        <v>2</v>
      </c>
      <c r="AC67" s="35">
        <v>16</v>
      </c>
      <c r="AN67" s="16">
        <v>8</v>
      </c>
      <c r="AO67" s="16" t="s">
        <v>70</v>
      </c>
      <c r="AS67" s="16">
        <v>9600</v>
      </c>
      <c r="AU67" s="39" t="s">
        <v>76</v>
      </c>
      <c r="AW67" s="16">
        <v>1</v>
      </c>
      <c r="AX67" s="16" t="s">
        <v>71</v>
      </c>
    </row>
    <row r="68" spans="1:50" x14ac:dyDescent="0.25">
      <c r="A68" s="16">
        <v>200</v>
      </c>
      <c r="B68" s="16">
        <v>400</v>
      </c>
      <c r="C68" s="16">
        <v>4300</v>
      </c>
      <c r="D68" s="17" t="s">
        <v>138</v>
      </c>
      <c r="E68" s="58">
        <v>400</v>
      </c>
      <c r="K68" s="30">
        <v>2</v>
      </c>
      <c r="L68" s="30">
        <v>16</v>
      </c>
      <c r="W68" s="42">
        <v>9.7947998619910095</v>
      </c>
      <c r="AB68" s="35">
        <v>2</v>
      </c>
      <c r="AC68" s="35">
        <v>16</v>
      </c>
      <c r="AN68" s="16">
        <v>8</v>
      </c>
      <c r="AO68" s="16" t="s">
        <v>70</v>
      </c>
      <c r="AS68" s="16">
        <v>9600</v>
      </c>
      <c r="AU68" s="39" t="s">
        <v>76</v>
      </c>
      <c r="AW68" s="16">
        <v>1</v>
      </c>
      <c r="AX68" s="16" t="s">
        <v>71</v>
      </c>
    </row>
    <row r="69" spans="1:50" x14ac:dyDescent="0.25">
      <c r="A69" s="16">
        <v>200</v>
      </c>
      <c r="B69" s="16">
        <v>400</v>
      </c>
      <c r="C69" s="16">
        <v>1300</v>
      </c>
      <c r="D69" s="17" t="s">
        <v>139</v>
      </c>
      <c r="E69" s="58">
        <v>400</v>
      </c>
      <c r="K69" s="30">
        <v>2</v>
      </c>
      <c r="L69" s="30">
        <v>16</v>
      </c>
      <c r="O69" s="30">
        <v>2</v>
      </c>
      <c r="P69" s="30">
        <v>16</v>
      </c>
      <c r="W69" s="42">
        <v>1</v>
      </c>
      <c r="AB69" s="35">
        <v>2</v>
      </c>
      <c r="AC69" s="35">
        <v>16</v>
      </c>
      <c r="AN69" s="16">
        <v>8</v>
      </c>
      <c r="AO69" s="16" t="s">
        <v>81</v>
      </c>
      <c r="AS69" s="16">
        <v>9600</v>
      </c>
      <c r="AU69" s="39" t="s">
        <v>76</v>
      </c>
      <c r="AW69" s="16">
        <v>1</v>
      </c>
      <c r="AX69" s="16" t="s">
        <v>71</v>
      </c>
    </row>
    <row r="70" spans="1:50" x14ac:dyDescent="0.25">
      <c r="A70" s="16">
        <v>200</v>
      </c>
      <c r="B70" s="16">
        <v>400</v>
      </c>
      <c r="C70" s="16">
        <v>3200</v>
      </c>
      <c r="D70" s="17" t="s">
        <v>140</v>
      </c>
      <c r="E70" s="58">
        <v>400</v>
      </c>
      <c r="K70" s="30">
        <v>2</v>
      </c>
      <c r="L70" s="30">
        <v>16</v>
      </c>
      <c r="O70" s="30">
        <v>2</v>
      </c>
      <c r="P70" s="30">
        <v>16</v>
      </c>
      <c r="W70" s="42">
        <v>4.8127075903790004</v>
      </c>
      <c r="AB70" s="35">
        <v>2</v>
      </c>
      <c r="AC70" s="35">
        <v>16</v>
      </c>
      <c r="AN70" s="16">
        <v>8</v>
      </c>
      <c r="AO70" s="16" t="s">
        <v>70</v>
      </c>
      <c r="AS70" s="16">
        <v>9600</v>
      </c>
      <c r="AU70" s="39" t="s">
        <v>76</v>
      </c>
      <c r="AW70" s="16">
        <v>1</v>
      </c>
      <c r="AX70" s="16" t="s">
        <v>71</v>
      </c>
    </row>
    <row r="71" spans="1:50" x14ac:dyDescent="0.25">
      <c r="A71" s="16">
        <v>200</v>
      </c>
      <c r="B71" s="16">
        <v>400</v>
      </c>
      <c r="C71" s="16">
        <v>4100</v>
      </c>
      <c r="D71" s="17" t="s">
        <v>141</v>
      </c>
      <c r="E71" s="58">
        <v>400</v>
      </c>
      <c r="K71" s="30">
        <v>2</v>
      </c>
      <c r="L71" s="30">
        <v>16</v>
      </c>
      <c r="W71" s="42">
        <v>1</v>
      </c>
      <c r="AB71" s="35">
        <v>2</v>
      </c>
      <c r="AC71" s="35">
        <v>16</v>
      </c>
      <c r="AN71" s="16">
        <v>8</v>
      </c>
      <c r="AO71" s="16" t="s">
        <v>70</v>
      </c>
      <c r="AS71" s="16">
        <v>9600</v>
      </c>
      <c r="AU71" s="39" t="s">
        <v>76</v>
      </c>
      <c r="AW71" s="16">
        <v>1</v>
      </c>
      <c r="AX71" s="16" t="s">
        <v>71</v>
      </c>
    </row>
    <row r="72" spans="1:50" x14ac:dyDescent="0.25">
      <c r="A72" s="16">
        <v>200</v>
      </c>
      <c r="B72" s="16">
        <v>400</v>
      </c>
      <c r="C72" s="16">
        <v>1400</v>
      </c>
      <c r="D72" s="17" t="s">
        <v>142</v>
      </c>
      <c r="E72" s="58">
        <v>400</v>
      </c>
      <c r="K72" s="30">
        <v>2</v>
      </c>
      <c r="L72" s="30">
        <v>16</v>
      </c>
      <c r="O72" s="30">
        <v>2</v>
      </c>
      <c r="P72" s="30">
        <v>16</v>
      </c>
      <c r="W72" s="42">
        <v>1</v>
      </c>
      <c r="AB72" s="35">
        <v>2</v>
      </c>
      <c r="AC72" s="35">
        <v>16</v>
      </c>
      <c r="AN72" s="16">
        <v>8</v>
      </c>
      <c r="AO72" s="16" t="s">
        <v>81</v>
      </c>
      <c r="AS72" s="16">
        <v>9600</v>
      </c>
      <c r="AU72" s="39" t="s">
        <v>76</v>
      </c>
      <c r="AW72" s="16">
        <v>1</v>
      </c>
      <c r="AX72" s="16" t="s">
        <v>71</v>
      </c>
    </row>
    <row r="73" spans="1:50" x14ac:dyDescent="0.25">
      <c r="A73" s="16">
        <v>200</v>
      </c>
      <c r="B73" s="16">
        <v>400</v>
      </c>
      <c r="C73" s="16">
        <v>3500</v>
      </c>
      <c r="D73" s="17" t="s">
        <v>143</v>
      </c>
      <c r="E73" s="58">
        <v>400</v>
      </c>
      <c r="K73" s="30">
        <v>2</v>
      </c>
      <c r="L73" s="30">
        <v>16</v>
      </c>
      <c r="O73" s="30">
        <v>2</v>
      </c>
      <c r="P73" s="30">
        <v>16</v>
      </c>
      <c r="W73" s="42">
        <v>1</v>
      </c>
      <c r="AB73" s="35">
        <v>2</v>
      </c>
      <c r="AC73" s="35">
        <v>16</v>
      </c>
      <c r="AN73" s="16">
        <v>8</v>
      </c>
      <c r="AO73" s="16" t="s">
        <v>70</v>
      </c>
      <c r="AS73" s="16">
        <v>9600</v>
      </c>
      <c r="AU73" s="39" t="s">
        <v>76</v>
      </c>
      <c r="AW73" s="16">
        <v>1</v>
      </c>
      <c r="AX73" s="16" t="s">
        <v>71</v>
      </c>
    </row>
    <row r="74" spans="1:50" x14ac:dyDescent="0.25">
      <c r="A74" s="16">
        <v>200</v>
      </c>
      <c r="B74" s="16">
        <v>400</v>
      </c>
      <c r="C74" s="16">
        <v>4300</v>
      </c>
      <c r="D74" s="17" t="s">
        <v>144</v>
      </c>
      <c r="E74" s="58">
        <v>400</v>
      </c>
      <c r="K74" s="30">
        <v>2</v>
      </c>
      <c r="L74" s="30">
        <v>16</v>
      </c>
      <c r="O74" s="30">
        <v>2</v>
      </c>
      <c r="P74" s="30">
        <v>16</v>
      </c>
      <c r="W74" s="42">
        <v>14.2633816733339</v>
      </c>
      <c r="AB74" s="35">
        <v>2</v>
      </c>
      <c r="AC74" s="35">
        <v>16</v>
      </c>
      <c r="AN74" s="16">
        <v>8</v>
      </c>
      <c r="AO74" s="16" t="s">
        <v>81</v>
      </c>
      <c r="AS74" s="16">
        <v>9600</v>
      </c>
      <c r="AU74" s="39" t="s">
        <v>76</v>
      </c>
      <c r="AW74" s="16">
        <v>1</v>
      </c>
      <c r="AX74" s="16" t="s">
        <v>71</v>
      </c>
    </row>
    <row r="75" spans="1:50" x14ac:dyDescent="0.25">
      <c r="A75" s="16">
        <v>200</v>
      </c>
      <c r="B75" s="16">
        <v>400</v>
      </c>
      <c r="C75" s="16">
        <v>1400</v>
      </c>
      <c r="D75" s="17" t="s">
        <v>145</v>
      </c>
      <c r="E75" s="58">
        <v>400</v>
      </c>
      <c r="K75" s="30">
        <v>2</v>
      </c>
      <c r="L75" s="30">
        <v>16</v>
      </c>
      <c r="W75" s="42">
        <v>1</v>
      </c>
      <c r="AB75" s="35">
        <v>2</v>
      </c>
      <c r="AC75" s="35">
        <v>16</v>
      </c>
      <c r="AN75" s="16">
        <v>8</v>
      </c>
      <c r="AO75" s="16" t="s">
        <v>70</v>
      </c>
      <c r="AS75" s="16">
        <v>9600</v>
      </c>
      <c r="AU75" s="39" t="s">
        <v>76</v>
      </c>
      <c r="AW75" s="16">
        <v>1</v>
      </c>
      <c r="AX75" s="16" t="s">
        <v>71</v>
      </c>
    </row>
    <row r="76" spans="1:50" x14ac:dyDescent="0.25">
      <c r="A76" s="16">
        <v>200</v>
      </c>
      <c r="B76" s="16">
        <v>400</v>
      </c>
      <c r="C76" s="16">
        <v>3500</v>
      </c>
      <c r="D76" s="17" t="s">
        <v>146</v>
      </c>
      <c r="E76" s="58">
        <v>400</v>
      </c>
      <c r="K76" s="30">
        <v>2</v>
      </c>
      <c r="L76" s="30">
        <v>16</v>
      </c>
      <c r="W76" s="42">
        <v>1</v>
      </c>
      <c r="AB76" s="35">
        <v>2</v>
      </c>
      <c r="AC76" s="35">
        <v>16</v>
      </c>
      <c r="AN76" s="16">
        <v>8</v>
      </c>
      <c r="AO76" s="16" t="s">
        <v>70</v>
      </c>
      <c r="AS76" s="16">
        <v>9600</v>
      </c>
      <c r="AU76" s="39" t="s">
        <v>76</v>
      </c>
      <c r="AW76" s="16">
        <v>1</v>
      </c>
      <c r="AX76" s="16" t="s">
        <v>71</v>
      </c>
    </row>
    <row r="77" spans="1:50" x14ac:dyDescent="0.25">
      <c r="A77" s="16">
        <v>200</v>
      </c>
      <c r="B77" s="16">
        <v>400</v>
      </c>
      <c r="C77" s="16">
        <v>4300</v>
      </c>
      <c r="D77" s="17" t="s">
        <v>147</v>
      </c>
      <c r="E77" s="58">
        <v>400</v>
      </c>
      <c r="K77" s="30">
        <v>2</v>
      </c>
      <c r="L77" s="30">
        <v>16</v>
      </c>
      <c r="W77" s="42">
        <v>10.059469443105201</v>
      </c>
      <c r="AB77" s="35">
        <v>2</v>
      </c>
      <c r="AC77" s="35">
        <v>16</v>
      </c>
      <c r="AN77" s="16">
        <v>8</v>
      </c>
      <c r="AO77" s="16" t="s">
        <v>70</v>
      </c>
      <c r="AS77" s="16">
        <v>9600</v>
      </c>
      <c r="AU77" s="39" t="s">
        <v>76</v>
      </c>
      <c r="AW77" s="16">
        <v>1</v>
      </c>
      <c r="AX77" s="16" t="s">
        <v>71</v>
      </c>
    </row>
    <row r="78" spans="1:50" x14ac:dyDescent="0.25">
      <c r="AX78" s="16"/>
    </row>
    <row r="79" spans="1:50" x14ac:dyDescent="0.25">
      <c r="AX79" s="16"/>
    </row>
    <row r="80" spans="1:50" x14ac:dyDescent="0.25">
      <c r="AX80" s="16"/>
    </row>
    <row r="81" spans="50:50" x14ac:dyDescent="0.25">
      <c r="AX81" s="16"/>
    </row>
    <row r="82" spans="50:50" x14ac:dyDescent="0.25">
      <c r="AX82" s="16"/>
    </row>
    <row r="83" spans="50:50" x14ac:dyDescent="0.25">
      <c r="AX83" s="16"/>
    </row>
    <row r="84" spans="50:50" x14ac:dyDescent="0.25">
      <c r="AX84" s="16"/>
    </row>
    <row r="85" spans="50:50" x14ac:dyDescent="0.25">
      <c r="AX85" s="16"/>
    </row>
    <row r="86" spans="50:50" x14ac:dyDescent="0.25">
      <c r="AX86" s="16"/>
    </row>
    <row r="87" spans="50:50" x14ac:dyDescent="0.25">
      <c r="AX87" s="16"/>
    </row>
    <row r="88" spans="50:50" x14ac:dyDescent="0.25">
      <c r="AX88" s="16"/>
    </row>
    <row r="89" spans="50:50" x14ac:dyDescent="0.25">
      <c r="AX89" s="16"/>
    </row>
    <row r="90" spans="50:50" x14ac:dyDescent="0.25">
      <c r="AX90" s="16"/>
    </row>
    <row r="91" spans="50:50" x14ac:dyDescent="0.25">
      <c r="AX91" s="16"/>
    </row>
    <row r="92" spans="50:50" x14ac:dyDescent="0.25">
      <c r="AX92" s="16"/>
    </row>
    <row r="93" spans="50:50" x14ac:dyDescent="0.25">
      <c r="AX93" s="16"/>
    </row>
    <row r="94" spans="50:50" x14ac:dyDescent="0.25">
      <c r="AX94" s="16"/>
    </row>
    <row r="95" spans="50:50" x14ac:dyDescent="0.25">
      <c r="AX95" s="16"/>
    </row>
    <row r="96" spans="50:50" x14ac:dyDescent="0.25">
      <c r="AX96" s="16"/>
    </row>
    <row r="97" spans="50:50" x14ac:dyDescent="0.25">
      <c r="AX97" s="16"/>
    </row>
    <row r="98" spans="50:50" x14ac:dyDescent="0.25">
      <c r="AX98" s="16"/>
    </row>
    <row r="99" spans="50:50" x14ac:dyDescent="0.25">
      <c r="AX99" s="16"/>
    </row>
    <row r="100" spans="50:50" x14ac:dyDescent="0.25">
      <c r="AX100" s="16"/>
    </row>
    <row r="101" spans="50:50" x14ac:dyDescent="0.25">
      <c r="AX101" s="16"/>
    </row>
    <row r="102" spans="50:50" x14ac:dyDescent="0.25">
      <c r="AX102" s="16"/>
    </row>
    <row r="103" spans="50:50" x14ac:dyDescent="0.25">
      <c r="AX103" s="16"/>
    </row>
    <row r="104" spans="50:50" x14ac:dyDescent="0.25">
      <c r="AX104" s="16"/>
    </row>
    <row r="105" spans="50:50" x14ac:dyDescent="0.25">
      <c r="AX105" s="16"/>
    </row>
    <row r="106" spans="50:50" x14ac:dyDescent="0.25">
      <c r="AX106" s="16"/>
    </row>
    <row r="107" spans="50:50" x14ac:dyDescent="0.25">
      <c r="AX107" s="16"/>
    </row>
    <row r="108" spans="50:50" x14ac:dyDescent="0.25">
      <c r="AX108" s="16"/>
    </row>
    <row r="109" spans="50:50" x14ac:dyDescent="0.25">
      <c r="AX109" s="16"/>
    </row>
    <row r="110" spans="50:50" x14ac:dyDescent="0.25">
      <c r="AX110" s="16"/>
    </row>
    <row r="111" spans="50:50" x14ac:dyDescent="0.25">
      <c r="AX111" s="16"/>
    </row>
    <row r="112" spans="50:50" x14ac:dyDescent="0.25">
      <c r="AX112" s="16"/>
    </row>
    <row r="113" spans="50:50" x14ac:dyDescent="0.25">
      <c r="AX113" s="16"/>
    </row>
    <row r="114" spans="50:50" x14ac:dyDescent="0.25">
      <c r="AX114" s="16"/>
    </row>
    <row r="115" spans="50:50" x14ac:dyDescent="0.25">
      <c r="AX115" s="16"/>
    </row>
    <row r="116" spans="50:50" x14ac:dyDescent="0.25">
      <c r="AX116" s="16"/>
    </row>
    <row r="117" spans="50:50" x14ac:dyDescent="0.25">
      <c r="AX117" s="16"/>
    </row>
    <row r="118" spans="50:50" x14ac:dyDescent="0.25">
      <c r="AX118" s="16"/>
    </row>
    <row r="119" spans="50:50" x14ac:dyDescent="0.25">
      <c r="AX119" s="16"/>
    </row>
    <row r="120" spans="50:50" x14ac:dyDescent="0.25">
      <c r="AX120" s="16"/>
    </row>
    <row r="121" spans="50:50" x14ac:dyDescent="0.25">
      <c r="AX121" s="16"/>
    </row>
    <row r="122" spans="50:50" x14ac:dyDescent="0.25">
      <c r="AX122" s="16"/>
    </row>
    <row r="123" spans="50:50" x14ac:dyDescent="0.25">
      <c r="AX123" s="16"/>
    </row>
    <row r="124" spans="50:50" x14ac:dyDescent="0.25">
      <c r="AX124" s="16"/>
    </row>
    <row r="125" spans="50:50" x14ac:dyDescent="0.25">
      <c r="AX125" s="16"/>
    </row>
    <row r="126" spans="50:50" x14ac:dyDescent="0.25">
      <c r="AX126" s="16"/>
    </row>
    <row r="127" spans="50:50" x14ac:dyDescent="0.25">
      <c r="AX127" s="16"/>
    </row>
    <row r="128" spans="50:50" x14ac:dyDescent="0.25">
      <c r="AX128" s="16"/>
    </row>
    <row r="129" spans="50:50" x14ac:dyDescent="0.25">
      <c r="AX129" s="16"/>
    </row>
    <row r="130" spans="50:50" x14ac:dyDescent="0.25">
      <c r="AX130" s="16"/>
    </row>
    <row r="131" spans="50:50" x14ac:dyDescent="0.25">
      <c r="AX131" s="16"/>
    </row>
    <row r="132" spans="50:50" x14ac:dyDescent="0.25">
      <c r="AX132" s="16"/>
    </row>
    <row r="133" spans="50:50" x14ac:dyDescent="0.25">
      <c r="AX133" s="16"/>
    </row>
    <row r="134" spans="50:50" x14ac:dyDescent="0.25">
      <c r="AX134" s="16"/>
    </row>
    <row r="135" spans="50:50" x14ac:dyDescent="0.25">
      <c r="AX135" s="16"/>
    </row>
    <row r="136" spans="50:50" x14ac:dyDescent="0.25">
      <c r="AX136" s="16"/>
    </row>
    <row r="137" spans="50:50" x14ac:dyDescent="0.25">
      <c r="AX137" s="16"/>
    </row>
    <row r="138" spans="50:50" x14ac:dyDescent="0.25">
      <c r="AX138" s="16"/>
    </row>
    <row r="139" spans="50:50" x14ac:dyDescent="0.25">
      <c r="AX139" s="16"/>
    </row>
    <row r="140" spans="50:50" x14ac:dyDescent="0.25">
      <c r="AX140" s="16"/>
    </row>
    <row r="141" spans="50:50" x14ac:dyDescent="0.25">
      <c r="AX141" s="16"/>
    </row>
    <row r="142" spans="50:50" x14ac:dyDescent="0.25">
      <c r="AX142" s="16"/>
    </row>
    <row r="143" spans="50:50" x14ac:dyDescent="0.25">
      <c r="AX143" s="16"/>
    </row>
    <row r="144" spans="50:50" x14ac:dyDescent="0.25">
      <c r="AX144" s="16"/>
    </row>
    <row r="145" spans="50:50" x14ac:dyDescent="0.25">
      <c r="AX145" s="16"/>
    </row>
    <row r="146" spans="50:50" x14ac:dyDescent="0.25">
      <c r="AX146" s="16"/>
    </row>
    <row r="147" spans="50:50" x14ac:dyDescent="0.25">
      <c r="AX147" s="16"/>
    </row>
    <row r="148" spans="50:50" x14ac:dyDescent="0.25">
      <c r="AX148" s="16"/>
    </row>
    <row r="149" spans="50:50" x14ac:dyDescent="0.25">
      <c r="AX149" s="16"/>
    </row>
    <row r="150" spans="50:50" x14ac:dyDescent="0.25">
      <c r="AX150" s="16"/>
    </row>
    <row r="151" spans="50:50" x14ac:dyDescent="0.25">
      <c r="AX151" s="16"/>
    </row>
    <row r="152" spans="50:50" x14ac:dyDescent="0.25">
      <c r="AX152" s="16"/>
    </row>
    <row r="153" spans="50:50" x14ac:dyDescent="0.25">
      <c r="AX153" s="16"/>
    </row>
    <row r="154" spans="50:50" x14ac:dyDescent="0.25">
      <c r="AX154" s="16"/>
    </row>
    <row r="155" spans="50:50" x14ac:dyDescent="0.25">
      <c r="AX155" s="16"/>
    </row>
    <row r="156" spans="50:50" x14ac:dyDescent="0.25">
      <c r="AX156" s="16"/>
    </row>
    <row r="157" spans="50:50" x14ac:dyDescent="0.25">
      <c r="AX157" s="16"/>
    </row>
    <row r="158" spans="50:50" x14ac:dyDescent="0.25">
      <c r="AX158" s="16"/>
    </row>
    <row r="159" spans="50:50" x14ac:dyDescent="0.25">
      <c r="AX159" s="16"/>
    </row>
  </sheetData>
  <mergeCells count="23">
    <mergeCell ref="AU5:AU7"/>
    <mergeCell ref="AW5:AW7"/>
    <mergeCell ref="AV5:AV7"/>
    <mergeCell ref="AX5:AX7"/>
    <mergeCell ref="BE5:BK5"/>
    <mergeCell ref="BH6:BJ6"/>
    <mergeCell ref="BE6:BF6"/>
    <mergeCell ref="BH7:BJ7"/>
    <mergeCell ref="BE7:BF7"/>
    <mergeCell ref="A5:C5"/>
    <mergeCell ref="D5:D6"/>
    <mergeCell ref="K6:L6"/>
    <mergeCell ref="M6:R6"/>
    <mergeCell ref="AT5:AT7"/>
    <mergeCell ref="AN5:AO5"/>
    <mergeCell ref="AS5:AS7"/>
    <mergeCell ref="AP5:AQ5"/>
    <mergeCell ref="AB6:AC6"/>
    <mergeCell ref="AD6:AI6"/>
    <mergeCell ref="K5:R5"/>
    <mergeCell ref="AR5:AR7"/>
    <mergeCell ref="E5:E7"/>
    <mergeCell ref="AB5:AI5"/>
  </mergeCells>
  <phoneticPr fontId="15" type="noConversion"/>
  <dataValidations count="1">
    <dataValidation type="list" allowBlank="1" showInputMessage="1" showErrorMessage="1" sqref="AT8:AT77 AX8:AX159 AV8:AV202" xr:uid="{00000000-0002-0000-0400-000000000000}">
      <formula1>"Yes,No"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3-SIDES</vt:lpstr>
      <vt:lpstr>Cau Thang Tools</vt:lpstr>
      <vt:lpstr>Table</vt:lpstr>
      <vt:lpstr>DATABEAM</vt:lpstr>
      <vt:lpstr>'3-SIDES'!Print_Area</vt:lpstr>
      <vt:lpstr>'3-SIDES'!Print_Titles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KHÁNH PHẠM QUỐC</cp:lastModifiedBy>
  <dcterms:created xsi:type="dcterms:W3CDTF">2019-12-24T03:18:52Z</dcterms:created>
  <dcterms:modified xsi:type="dcterms:W3CDTF">2026-10-19T07:37:05Z</dcterms:modified>
</cp:coreProperties>
</file>